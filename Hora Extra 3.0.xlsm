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50e4f0ca87c621/Área de Trabalho/"/>
    </mc:Choice>
  </mc:AlternateContent>
  <xr:revisionPtr revIDLastSave="0" documentId="11_D521AB9470AF2DE1AF738E7E511B41539819F8BC" xr6:coauthVersionLast="47" xr6:coauthVersionMax="47" xr10:uidLastSave="{00000000-0000-0000-0000-000000000000}"/>
  <bookViews>
    <workbookView xWindow="-108" yWindow="-108" windowWidth="23256" windowHeight="12456" tabRatio="500" activeTab="4" xr2:uid="{00000000-000D-0000-FFFF-FFFF00000000}"/>
  </bookViews>
  <sheets>
    <sheet name="Menu" sheetId="1" r:id="rId1"/>
    <sheet name="Cadastro" sheetId="2" r:id="rId2"/>
    <sheet name="Josué Barbosa" sheetId="3" r:id="rId3"/>
    <sheet name="Davi Emanuel" sheetId="4" r:id="rId4"/>
    <sheet name="Júlia Maria" sheetId="5" r:id="rId5"/>
    <sheet name="Laércio Moreira" sheetId="6" r:id="rId6"/>
    <sheet name="Folha de ponto" sheetId="7" r:id="rId7"/>
    <sheet name="Fechamento" sheetId="8" r:id="rId8"/>
  </sheets>
  <definedNames>
    <definedName name="Funcionarios">OFFSET(Cadastro!$D$2,0,0,COUNTA(Cadastro!$D:$D)-1,1)</definedName>
    <definedName name="_xlnm.Print_Titles" localSheetId="6">'Folha de ponto'!$17:$17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" i="7" l="1"/>
  <c r="B14" i="7"/>
  <c r="B13" i="7"/>
  <c r="B12" i="7"/>
  <c r="B11" i="7"/>
  <c r="B10" i="7"/>
  <c r="B9" i="7"/>
  <c r="AE37" i="6"/>
  <c r="AD37" i="6"/>
  <c r="AB37" i="6"/>
  <c r="AC37" i="6" s="1"/>
  <c r="I37" i="6"/>
  <c r="B37" i="6"/>
  <c r="AE36" i="6"/>
  <c r="AD36" i="6"/>
  <c r="AB36" i="6"/>
  <c r="AC36" i="6" s="1"/>
  <c r="I36" i="6"/>
  <c r="B36" i="6"/>
  <c r="AE35" i="6"/>
  <c r="AD35" i="6"/>
  <c r="AB35" i="6"/>
  <c r="AC35" i="6" s="1"/>
  <c r="S35" i="6"/>
  <c r="V35" i="6" s="1"/>
  <c r="I35" i="6"/>
  <c r="B35" i="6"/>
  <c r="AE34" i="6"/>
  <c r="AD34" i="6"/>
  <c r="AC34" i="6"/>
  <c r="AB34" i="6"/>
  <c r="S34" i="6"/>
  <c r="V34" i="6" s="1"/>
  <c r="I34" i="6"/>
  <c r="B34" i="6"/>
  <c r="AE33" i="6"/>
  <c r="AD33" i="6"/>
  <c r="AB33" i="6"/>
  <c r="AC33" i="6" s="1"/>
  <c r="S33" i="6"/>
  <c r="I33" i="6"/>
  <c r="B33" i="6"/>
  <c r="AE32" i="6"/>
  <c r="AD32" i="6"/>
  <c r="AB32" i="6"/>
  <c r="AC32" i="6" s="1"/>
  <c r="S32" i="6"/>
  <c r="V32" i="6" s="1"/>
  <c r="R32" i="6"/>
  <c r="T32" i="6" s="1"/>
  <c r="I32" i="6"/>
  <c r="B32" i="6"/>
  <c r="AE31" i="6"/>
  <c r="AD31" i="6"/>
  <c r="AC31" i="6"/>
  <c r="AB31" i="6"/>
  <c r="S31" i="6"/>
  <c r="U31" i="6" s="1"/>
  <c r="I31" i="6"/>
  <c r="B31" i="6"/>
  <c r="AE30" i="6"/>
  <c r="AD30" i="6"/>
  <c r="AB30" i="6"/>
  <c r="AC30" i="6" s="1"/>
  <c r="S30" i="6"/>
  <c r="I30" i="6"/>
  <c r="B30" i="6"/>
  <c r="K30" i="6" s="1"/>
  <c r="AE29" i="6"/>
  <c r="AD29" i="6"/>
  <c r="AB29" i="6"/>
  <c r="AC29" i="6" s="1"/>
  <c r="S29" i="6"/>
  <c r="I29" i="6"/>
  <c r="B29" i="6"/>
  <c r="M29" i="6" s="1"/>
  <c r="AE28" i="6"/>
  <c r="AD28" i="6"/>
  <c r="AB28" i="6"/>
  <c r="AC28" i="6" s="1"/>
  <c r="S28" i="6"/>
  <c r="I28" i="6"/>
  <c r="B28" i="6"/>
  <c r="AE27" i="6"/>
  <c r="AD27" i="6"/>
  <c r="AB27" i="6"/>
  <c r="AC27" i="6" s="1"/>
  <c r="S27" i="6"/>
  <c r="I27" i="6"/>
  <c r="B27" i="6"/>
  <c r="M27" i="6" s="1"/>
  <c r="AE26" i="6"/>
  <c r="AD26" i="6"/>
  <c r="AB26" i="6"/>
  <c r="AC26" i="6" s="1"/>
  <c r="S26" i="6"/>
  <c r="I26" i="6"/>
  <c r="B26" i="6"/>
  <c r="M26" i="6" s="1"/>
  <c r="AE25" i="6"/>
  <c r="AD25" i="6"/>
  <c r="AB25" i="6"/>
  <c r="AC25" i="6" s="1"/>
  <c r="S25" i="6"/>
  <c r="I25" i="6"/>
  <c r="B25" i="6"/>
  <c r="AE24" i="6"/>
  <c r="AD24" i="6"/>
  <c r="AB24" i="6"/>
  <c r="AC24" i="6" s="1"/>
  <c r="Y24" i="6"/>
  <c r="S24" i="6"/>
  <c r="K24" i="6"/>
  <c r="I24" i="6"/>
  <c r="B24" i="6"/>
  <c r="M24" i="6" s="1"/>
  <c r="AE23" i="6"/>
  <c r="AD23" i="6"/>
  <c r="AB23" i="6"/>
  <c r="AC23" i="6" s="1"/>
  <c r="I23" i="6"/>
  <c r="B23" i="6"/>
  <c r="M23" i="6" s="1"/>
  <c r="AE22" i="6"/>
  <c r="AD22" i="6"/>
  <c r="AB22" i="6"/>
  <c r="AC22" i="6" s="1"/>
  <c r="I22" i="6"/>
  <c r="B22" i="6"/>
  <c r="K22" i="6" s="1"/>
  <c r="AE21" i="6"/>
  <c r="AD21" i="6"/>
  <c r="AB21" i="6"/>
  <c r="AC21" i="6" s="1"/>
  <c r="I21" i="6"/>
  <c r="B21" i="6"/>
  <c r="AE20" i="6"/>
  <c r="AD20" i="6"/>
  <c r="AB20" i="6"/>
  <c r="AC20" i="6" s="1"/>
  <c r="I20" i="6"/>
  <c r="M20" i="6" s="1"/>
  <c r="B20" i="6"/>
  <c r="AE19" i="6"/>
  <c r="AD19" i="6"/>
  <c r="AB19" i="6"/>
  <c r="AC19" i="6" s="1"/>
  <c r="I19" i="6"/>
  <c r="B19" i="6"/>
  <c r="AE18" i="6"/>
  <c r="AD18" i="6"/>
  <c r="AC18" i="6"/>
  <c r="AB18" i="6"/>
  <c r="I18" i="6"/>
  <c r="B18" i="6"/>
  <c r="AE17" i="6"/>
  <c r="AD17" i="6"/>
  <c r="AC17" i="6"/>
  <c r="AB17" i="6"/>
  <c r="M17" i="6"/>
  <c r="I17" i="6"/>
  <c r="B17" i="6"/>
  <c r="K17" i="6" s="1"/>
  <c r="AE16" i="6"/>
  <c r="AD16" i="6"/>
  <c r="AC16" i="6"/>
  <c r="AB16" i="6"/>
  <c r="I16" i="6"/>
  <c r="B16" i="6"/>
  <c r="AE15" i="6"/>
  <c r="AD15" i="6"/>
  <c r="AC15" i="6"/>
  <c r="U33" i="6" s="1"/>
  <c r="AB15" i="6"/>
  <c r="W15" i="6"/>
  <c r="V15" i="6"/>
  <c r="Q15" i="6"/>
  <c r="I15" i="6"/>
  <c r="B15" i="6"/>
  <c r="X24" i="6" s="1"/>
  <c r="AE14" i="6"/>
  <c r="AD14" i="6"/>
  <c r="AC14" i="6"/>
  <c r="AB14" i="6"/>
  <c r="W14" i="6"/>
  <c r="V14" i="6"/>
  <c r="Q14" i="6"/>
  <c r="I14" i="6"/>
  <c r="B14" i="6"/>
  <c r="AE13" i="6"/>
  <c r="AD13" i="6"/>
  <c r="AB13" i="6"/>
  <c r="AC13" i="6" s="1"/>
  <c r="W13" i="6"/>
  <c r="V13" i="6"/>
  <c r="Q13" i="6"/>
  <c r="M16" i="6" s="1"/>
  <c r="I13" i="6"/>
  <c r="B13" i="6"/>
  <c r="M13" i="6" s="1"/>
  <c r="AE12" i="6"/>
  <c r="AD12" i="6"/>
  <c r="AB12" i="6"/>
  <c r="AC12" i="6" s="1"/>
  <c r="W12" i="6"/>
  <c r="V12" i="6"/>
  <c r="Q12" i="6"/>
  <c r="I12" i="6"/>
  <c r="B12" i="6"/>
  <c r="AE11" i="6"/>
  <c r="AD11" i="6"/>
  <c r="AB11" i="6"/>
  <c r="AC11" i="6" s="1"/>
  <c r="W11" i="6"/>
  <c r="V11" i="6"/>
  <c r="K19" i="6" s="1"/>
  <c r="Y26" i="6" s="1"/>
  <c r="Q11" i="6"/>
  <c r="K28" i="6" s="1"/>
  <c r="K11" i="6"/>
  <c r="I11" i="6"/>
  <c r="B11" i="6"/>
  <c r="AE10" i="6"/>
  <c r="AD10" i="6"/>
  <c r="AB10" i="6"/>
  <c r="AC10" i="6" s="1"/>
  <c r="W10" i="6"/>
  <c r="V10" i="6"/>
  <c r="M11" i="6" s="1"/>
  <c r="Q10" i="6"/>
  <c r="I10" i="6"/>
  <c r="B10" i="6"/>
  <c r="AE9" i="6"/>
  <c r="AD9" i="6"/>
  <c r="AC9" i="6"/>
  <c r="AB9" i="6"/>
  <c r="W9" i="6"/>
  <c r="V9" i="6"/>
  <c r="Q9" i="6"/>
  <c r="I9" i="6"/>
  <c r="B9" i="6"/>
  <c r="M9" i="6" s="1"/>
  <c r="AE8" i="6"/>
  <c r="AD8" i="6"/>
  <c r="AB8" i="6"/>
  <c r="AC8" i="6" s="1"/>
  <c r="I8" i="6"/>
  <c r="B8" i="6"/>
  <c r="M8" i="6" s="1"/>
  <c r="AE7" i="6"/>
  <c r="R35" i="6" s="1"/>
  <c r="T35" i="6" s="1"/>
  <c r="AD7" i="6"/>
  <c r="AB7" i="6"/>
  <c r="AC7" i="6" s="1"/>
  <c r="I7" i="6"/>
  <c r="B7" i="6"/>
  <c r="S2" i="6"/>
  <c r="AE37" i="5"/>
  <c r="AD37" i="5"/>
  <c r="AB37" i="5"/>
  <c r="AC37" i="5" s="1"/>
  <c r="I37" i="5"/>
  <c r="M37" i="5" s="1"/>
  <c r="B37" i="5"/>
  <c r="AE36" i="5"/>
  <c r="AD36" i="5"/>
  <c r="AB36" i="5"/>
  <c r="AC36" i="5" s="1"/>
  <c r="I36" i="5"/>
  <c r="B36" i="5"/>
  <c r="AE35" i="5"/>
  <c r="AD35" i="5"/>
  <c r="AB35" i="5"/>
  <c r="AC35" i="5" s="1"/>
  <c r="V35" i="5"/>
  <c r="S35" i="5"/>
  <c r="I35" i="5"/>
  <c r="B35" i="5"/>
  <c r="AE34" i="5"/>
  <c r="AD34" i="5"/>
  <c r="AC34" i="5"/>
  <c r="AB34" i="5"/>
  <c r="S34" i="5"/>
  <c r="I34" i="5"/>
  <c r="B34" i="5"/>
  <c r="AE33" i="5"/>
  <c r="AD33" i="5"/>
  <c r="AB33" i="5"/>
  <c r="AC33" i="5" s="1"/>
  <c r="S33" i="5"/>
  <c r="I33" i="5"/>
  <c r="B33" i="5"/>
  <c r="AE32" i="5"/>
  <c r="AD32" i="5"/>
  <c r="AB32" i="5"/>
  <c r="AC32" i="5" s="1"/>
  <c r="U32" i="5"/>
  <c r="S32" i="5"/>
  <c r="V32" i="5" s="1"/>
  <c r="I32" i="5"/>
  <c r="B32" i="5"/>
  <c r="AE31" i="5"/>
  <c r="AD31" i="5"/>
  <c r="AC31" i="5"/>
  <c r="AB31" i="5"/>
  <c r="S31" i="5"/>
  <c r="R31" i="5"/>
  <c r="I31" i="5"/>
  <c r="B31" i="5"/>
  <c r="AE30" i="5"/>
  <c r="AD30" i="5"/>
  <c r="AC30" i="5"/>
  <c r="AB30" i="5"/>
  <c r="Y30" i="5"/>
  <c r="X30" i="5"/>
  <c r="S30" i="5"/>
  <c r="I30" i="5"/>
  <c r="B30" i="5"/>
  <c r="AE29" i="5"/>
  <c r="AD29" i="5"/>
  <c r="AB29" i="5"/>
  <c r="AC29" i="5" s="1"/>
  <c r="Y29" i="5"/>
  <c r="S29" i="5"/>
  <c r="I29" i="5"/>
  <c r="B29" i="5"/>
  <c r="AE28" i="5"/>
  <c r="AD28" i="5"/>
  <c r="AB28" i="5"/>
  <c r="AC28" i="5" s="1"/>
  <c r="S28" i="5"/>
  <c r="I28" i="5"/>
  <c r="B28" i="5"/>
  <c r="AE27" i="5"/>
  <c r="AD27" i="5"/>
  <c r="AB27" i="5"/>
  <c r="AC27" i="5" s="1"/>
  <c r="Y27" i="5"/>
  <c r="S27" i="5"/>
  <c r="I27" i="5"/>
  <c r="B27" i="5"/>
  <c r="AE26" i="5"/>
  <c r="AD26" i="5"/>
  <c r="AB26" i="5"/>
  <c r="AC26" i="5" s="1"/>
  <c r="Y26" i="5"/>
  <c r="S26" i="5"/>
  <c r="I26" i="5"/>
  <c r="B26" i="5"/>
  <c r="AE25" i="5"/>
  <c r="AD25" i="5"/>
  <c r="AB25" i="5"/>
  <c r="AC25" i="5" s="1"/>
  <c r="Y25" i="5"/>
  <c r="S25" i="5"/>
  <c r="I25" i="5"/>
  <c r="B25" i="5"/>
  <c r="AE24" i="5"/>
  <c r="AD24" i="5"/>
  <c r="AC24" i="5"/>
  <c r="AB24" i="5"/>
  <c r="Y24" i="5"/>
  <c r="S24" i="5"/>
  <c r="I24" i="5"/>
  <c r="B24" i="5"/>
  <c r="AE23" i="5"/>
  <c r="AD23" i="5"/>
  <c r="AC23" i="5"/>
  <c r="AB23" i="5"/>
  <c r="I23" i="5"/>
  <c r="B23" i="5"/>
  <c r="AE22" i="5"/>
  <c r="AD22" i="5"/>
  <c r="AC22" i="5"/>
  <c r="AB22" i="5"/>
  <c r="I22" i="5"/>
  <c r="B22" i="5"/>
  <c r="AE21" i="5"/>
  <c r="AD21" i="5"/>
  <c r="AC21" i="5"/>
  <c r="AB21" i="5"/>
  <c r="I21" i="5"/>
  <c r="B21" i="5"/>
  <c r="AE20" i="5"/>
  <c r="AD20" i="5"/>
  <c r="AC20" i="5"/>
  <c r="AB20" i="5"/>
  <c r="I20" i="5"/>
  <c r="B20" i="5"/>
  <c r="AE19" i="5"/>
  <c r="AD19" i="5"/>
  <c r="AC19" i="5"/>
  <c r="AB19" i="5"/>
  <c r="I19" i="5"/>
  <c r="B19" i="5"/>
  <c r="AE18" i="5"/>
  <c r="AD18" i="5"/>
  <c r="AB18" i="5"/>
  <c r="AC18" i="5" s="1"/>
  <c r="I18" i="5"/>
  <c r="B18" i="5"/>
  <c r="AE17" i="5"/>
  <c r="AD17" i="5"/>
  <c r="AC17" i="5"/>
  <c r="AB17" i="5"/>
  <c r="I17" i="5"/>
  <c r="B17" i="5"/>
  <c r="AE16" i="5"/>
  <c r="AD16" i="5"/>
  <c r="AC16" i="5"/>
  <c r="AB16" i="5"/>
  <c r="I16" i="5"/>
  <c r="R32" i="5" s="1"/>
  <c r="T32" i="5" s="1"/>
  <c r="B16" i="5"/>
  <c r="AE15" i="5"/>
  <c r="AD15" i="5"/>
  <c r="AC15" i="5"/>
  <c r="AB15" i="5"/>
  <c r="W15" i="5"/>
  <c r="V15" i="5"/>
  <c r="Q15" i="5"/>
  <c r="I15" i="5"/>
  <c r="B15" i="5"/>
  <c r="M15" i="5" s="1"/>
  <c r="AE14" i="5"/>
  <c r="AD14" i="5"/>
  <c r="AB14" i="5"/>
  <c r="AC14" i="5" s="1"/>
  <c r="W14" i="5"/>
  <c r="V14" i="5"/>
  <c r="Q14" i="5"/>
  <c r="I14" i="5"/>
  <c r="B14" i="5"/>
  <c r="AE13" i="5"/>
  <c r="U35" i="5" s="1"/>
  <c r="AD13" i="5"/>
  <c r="AC13" i="5"/>
  <c r="AB13" i="5"/>
  <c r="W13" i="5"/>
  <c r="V13" i="5"/>
  <c r="Q13" i="5"/>
  <c r="I13" i="5"/>
  <c r="B13" i="5"/>
  <c r="AE12" i="5"/>
  <c r="AD12" i="5"/>
  <c r="AC12" i="5"/>
  <c r="AB12" i="5"/>
  <c r="W12" i="5"/>
  <c r="V12" i="5"/>
  <c r="Q12" i="5"/>
  <c r="I12" i="5"/>
  <c r="B12" i="5"/>
  <c r="AE11" i="5"/>
  <c r="AD11" i="5"/>
  <c r="AB11" i="5"/>
  <c r="AC11" i="5" s="1"/>
  <c r="W11" i="5"/>
  <c r="V11" i="5"/>
  <c r="Q11" i="5"/>
  <c r="K11" i="5"/>
  <c r="I11" i="5"/>
  <c r="B11" i="5"/>
  <c r="AE10" i="5"/>
  <c r="AD10" i="5"/>
  <c r="R34" i="5" s="1"/>
  <c r="T34" i="5" s="1"/>
  <c r="AB10" i="5"/>
  <c r="AC10" i="5" s="1"/>
  <c r="W10" i="5"/>
  <c r="V10" i="5"/>
  <c r="Q10" i="5"/>
  <c r="I10" i="5"/>
  <c r="B10" i="5"/>
  <c r="AE9" i="5"/>
  <c r="AD9" i="5"/>
  <c r="AC9" i="5"/>
  <c r="AB9" i="5"/>
  <c r="W9" i="5"/>
  <c r="V9" i="5"/>
  <c r="Q9" i="5"/>
  <c r="K37" i="5" s="1"/>
  <c r="I9" i="5"/>
  <c r="B9" i="5"/>
  <c r="AE8" i="5"/>
  <c r="AD8" i="5"/>
  <c r="AB8" i="5"/>
  <c r="AC8" i="5" s="1"/>
  <c r="I8" i="5"/>
  <c r="B8" i="5"/>
  <c r="AE7" i="5"/>
  <c r="AD7" i="5"/>
  <c r="AB7" i="5"/>
  <c r="AC7" i="5" s="1"/>
  <c r="I7" i="5"/>
  <c r="B7" i="5"/>
  <c r="S2" i="5"/>
  <c r="AE37" i="4"/>
  <c r="AD37" i="4"/>
  <c r="AC37" i="4"/>
  <c r="AB37" i="4"/>
  <c r="I37" i="4"/>
  <c r="B37" i="4"/>
  <c r="AE36" i="4"/>
  <c r="AD36" i="4"/>
  <c r="AB36" i="4"/>
  <c r="AC36" i="4" s="1"/>
  <c r="I36" i="4"/>
  <c r="B36" i="4"/>
  <c r="AE35" i="4"/>
  <c r="AD35" i="4"/>
  <c r="AB35" i="4"/>
  <c r="AC35" i="4" s="1"/>
  <c r="S35" i="4"/>
  <c r="I35" i="4"/>
  <c r="B35" i="4"/>
  <c r="M35" i="4" s="1"/>
  <c r="AE34" i="4"/>
  <c r="AD34" i="4"/>
  <c r="AB34" i="4"/>
  <c r="AC34" i="4" s="1"/>
  <c r="S34" i="4"/>
  <c r="V34" i="4" s="1"/>
  <c r="I34" i="4"/>
  <c r="B34" i="4"/>
  <c r="AE33" i="4"/>
  <c r="AD33" i="4"/>
  <c r="AC33" i="4"/>
  <c r="AB33" i="4"/>
  <c r="S33" i="4"/>
  <c r="I33" i="4"/>
  <c r="B33" i="4"/>
  <c r="AE32" i="4"/>
  <c r="AD32" i="4"/>
  <c r="AC32" i="4"/>
  <c r="AB32" i="4"/>
  <c r="V32" i="4"/>
  <c r="U32" i="4"/>
  <c r="S32" i="4"/>
  <c r="I32" i="4"/>
  <c r="B32" i="4"/>
  <c r="M32" i="4" s="1"/>
  <c r="AE31" i="4"/>
  <c r="AD31" i="4"/>
  <c r="AB31" i="4"/>
  <c r="AC31" i="4" s="1"/>
  <c r="S31" i="4"/>
  <c r="V31" i="4" s="1"/>
  <c r="R31" i="4"/>
  <c r="T31" i="4" s="1"/>
  <c r="I31" i="4"/>
  <c r="B31" i="4"/>
  <c r="AE30" i="4"/>
  <c r="AD30" i="4"/>
  <c r="AB30" i="4"/>
  <c r="AC30" i="4" s="1"/>
  <c r="S30" i="4"/>
  <c r="U30" i="4" s="1"/>
  <c r="I30" i="4"/>
  <c r="B30" i="4"/>
  <c r="M30" i="4" s="1"/>
  <c r="AE29" i="4"/>
  <c r="AD29" i="4"/>
  <c r="AC29" i="4"/>
  <c r="AB29" i="4"/>
  <c r="S29" i="4"/>
  <c r="I29" i="4"/>
  <c r="B29" i="4"/>
  <c r="M29" i="4" s="1"/>
  <c r="AE28" i="4"/>
  <c r="AD28" i="4"/>
  <c r="AB28" i="4"/>
  <c r="AC28" i="4" s="1"/>
  <c r="S28" i="4"/>
  <c r="I28" i="4"/>
  <c r="B28" i="4"/>
  <c r="M28" i="4" s="1"/>
  <c r="AE27" i="4"/>
  <c r="AD27" i="4"/>
  <c r="AB27" i="4"/>
  <c r="AC27" i="4" s="1"/>
  <c r="Y27" i="4"/>
  <c r="S27" i="4"/>
  <c r="V27" i="4" s="1"/>
  <c r="I27" i="4"/>
  <c r="B27" i="4"/>
  <c r="M27" i="4" s="1"/>
  <c r="AE26" i="4"/>
  <c r="AD26" i="4"/>
  <c r="AC26" i="4"/>
  <c r="AB26" i="4"/>
  <c r="X26" i="4"/>
  <c r="S26" i="4"/>
  <c r="V26" i="4" s="1"/>
  <c r="I26" i="4"/>
  <c r="B26" i="4"/>
  <c r="M26" i="4" s="1"/>
  <c r="AE25" i="4"/>
  <c r="AD25" i="4"/>
  <c r="AC25" i="4"/>
  <c r="AB25" i="4"/>
  <c r="S25" i="4"/>
  <c r="V25" i="4" s="1"/>
  <c r="I25" i="4"/>
  <c r="B25" i="4"/>
  <c r="K25" i="4" s="1"/>
  <c r="AE24" i="4"/>
  <c r="AD24" i="4"/>
  <c r="AC24" i="4"/>
  <c r="AB24" i="4"/>
  <c r="Y24" i="4"/>
  <c r="U24" i="4"/>
  <c r="S24" i="4"/>
  <c r="V24" i="4" s="1"/>
  <c r="I24" i="4"/>
  <c r="B24" i="4"/>
  <c r="AE23" i="4"/>
  <c r="AD23" i="4"/>
  <c r="AB23" i="4"/>
  <c r="AC23" i="4" s="1"/>
  <c r="I23" i="4"/>
  <c r="B23" i="4"/>
  <c r="AE22" i="4"/>
  <c r="AD22" i="4"/>
  <c r="AB22" i="4"/>
  <c r="AC22" i="4" s="1"/>
  <c r="I22" i="4"/>
  <c r="B22" i="4"/>
  <c r="AE21" i="4"/>
  <c r="AD21" i="4"/>
  <c r="AB21" i="4"/>
  <c r="AC21" i="4" s="1"/>
  <c r="I21" i="4"/>
  <c r="B21" i="4"/>
  <c r="AE20" i="4"/>
  <c r="AD20" i="4"/>
  <c r="AB20" i="4"/>
  <c r="AC20" i="4" s="1"/>
  <c r="I20" i="4"/>
  <c r="B20" i="4"/>
  <c r="AE19" i="4"/>
  <c r="AD19" i="4"/>
  <c r="AB19" i="4"/>
  <c r="AC19" i="4" s="1"/>
  <c r="I19" i="4"/>
  <c r="B19" i="4"/>
  <c r="AE18" i="4"/>
  <c r="AD18" i="4"/>
  <c r="AB18" i="4"/>
  <c r="AC18" i="4" s="1"/>
  <c r="I18" i="4"/>
  <c r="B18" i="4"/>
  <c r="AE17" i="4"/>
  <c r="AD17" i="4"/>
  <c r="AC17" i="4"/>
  <c r="AB17" i="4"/>
  <c r="I17" i="4"/>
  <c r="B17" i="4"/>
  <c r="AE16" i="4"/>
  <c r="AD16" i="4"/>
  <c r="AC16" i="4"/>
  <c r="AB16" i="4"/>
  <c r="I16" i="4"/>
  <c r="R32" i="4" s="1"/>
  <c r="T32" i="4" s="1"/>
  <c r="B16" i="4"/>
  <c r="AE15" i="4"/>
  <c r="AD15" i="4"/>
  <c r="AC15" i="4"/>
  <c r="AB15" i="4"/>
  <c r="W15" i="4"/>
  <c r="V15" i="4"/>
  <c r="Q15" i="4"/>
  <c r="I15" i="4"/>
  <c r="B15" i="4"/>
  <c r="AE14" i="4"/>
  <c r="AD14" i="4"/>
  <c r="AC14" i="4"/>
  <c r="AB14" i="4"/>
  <c r="W14" i="4"/>
  <c r="V14" i="4"/>
  <c r="Q14" i="4"/>
  <c r="I14" i="4"/>
  <c r="B14" i="4"/>
  <c r="AE13" i="4"/>
  <c r="AD13" i="4"/>
  <c r="AB13" i="4"/>
  <c r="AC13" i="4" s="1"/>
  <c r="W13" i="4"/>
  <c r="V13" i="4"/>
  <c r="Q13" i="4"/>
  <c r="K30" i="4" s="1"/>
  <c r="I13" i="4"/>
  <c r="B13" i="4"/>
  <c r="U28" i="4" s="1"/>
  <c r="AE12" i="4"/>
  <c r="AD12" i="4"/>
  <c r="AB12" i="4"/>
  <c r="AC12" i="4" s="1"/>
  <c r="W12" i="4"/>
  <c r="V12" i="4"/>
  <c r="Q12" i="4"/>
  <c r="I12" i="4"/>
  <c r="M12" i="4" s="1"/>
  <c r="B12" i="4"/>
  <c r="AE11" i="4"/>
  <c r="AD11" i="4"/>
  <c r="AC11" i="4"/>
  <c r="AB11" i="4"/>
  <c r="W11" i="4"/>
  <c r="V11" i="4"/>
  <c r="Q11" i="4"/>
  <c r="K15" i="4" s="1"/>
  <c r="K11" i="4"/>
  <c r="I11" i="4"/>
  <c r="B11" i="4"/>
  <c r="M11" i="4" s="1"/>
  <c r="AE10" i="4"/>
  <c r="AD10" i="4"/>
  <c r="AB10" i="4"/>
  <c r="AC10" i="4" s="1"/>
  <c r="W10" i="4"/>
  <c r="V10" i="4"/>
  <c r="Q10" i="4"/>
  <c r="M10" i="4"/>
  <c r="I10" i="4"/>
  <c r="B10" i="4"/>
  <c r="AE9" i="4"/>
  <c r="AD9" i="4"/>
  <c r="AB9" i="4"/>
  <c r="AC9" i="4" s="1"/>
  <c r="W9" i="4"/>
  <c r="V9" i="4"/>
  <c r="K10" i="4" s="1"/>
  <c r="Q9" i="4"/>
  <c r="I9" i="4"/>
  <c r="B9" i="4"/>
  <c r="AE8" i="4"/>
  <c r="U35" i="4" s="1"/>
  <c r="AD8" i="4"/>
  <c r="U34" i="4" s="1"/>
  <c r="AC8" i="4"/>
  <c r="AB8" i="4"/>
  <c r="I8" i="4"/>
  <c r="B8" i="4"/>
  <c r="X28" i="4" s="1"/>
  <c r="AE7" i="4"/>
  <c r="R35" i="4" s="1"/>
  <c r="T35" i="4" s="1"/>
  <c r="AD7" i="4"/>
  <c r="R34" i="4" s="1"/>
  <c r="T34" i="4" s="1"/>
  <c r="AC7" i="4"/>
  <c r="AB7" i="4"/>
  <c r="I7" i="4"/>
  <c r="B7" i="4"/>
  <c r="Y29" i="4" s="1"/>
  <c r="S2" i="4"/>
  <c r="AE37" i="3"/>
  <c r="AD37" i="3"/>
  <c r="AC37" i="3"/>
  <c r="AB37" i="3"/>
  <c r="I37" i="3"/>
  <c r="M37" i="3" s="1"/>
  <c r="B37" i="3"/>
  <c r="AE36" i="3"/>
  <c r="AD36" i="3"/>
  <c r="AC36" i="3"/>
  <c r="AB36" i="3"/>
  <c r="I36" i="3"/>
  <c r="B36" i="3"/>
  <c r="AE35" i="3"/>
  <c r="AD35" i="3"/>
  <c r="AC35" i="3"/>
  <c r="AB35" i="3"/>
  <c r="S35" i="3"/>
  <c r="K35" i="3"/>
  <c r="I35" i="3"/>
  <c r="B35" i="3"/>
  <c r="M35" i="3" s="1"/>
  <c r="AE34" i="3"/>
  <c r="AD34" i="3"/>
  <c r="AC34" i="3"/>
  <c r="AB34" i="3"/>
  <c r="S34" i="3"/>
  <c r="I34" i="3"/>
  <c r="B34" i="3"/>
  <c r="AE33" i="3"/>
  <c r="AD33" i="3"/>
  <c r="AC33" i="3"/>
  <c r="AB33" i="3"/>
  <c r="S33" i="3"/>
  <c r="I33" i="3"/>
  <c r="B33" i="3"/>
  <c r="AE32" i="3"/>
  <c r="AD32" i="3"/>
  <c r="AB32" i="3"/>
  <c r="AC32" i="3" s="1"/>
  <c r="V32" i="3"/>
  <c r="U32" i="3"/>
  <c r="S32" i="3"/>
  <c r="I32" i="3"/>
  <c r="B32" i="3"/>
  <c r="M32" i="3" s="1"/>
  <c r="AE31" i="3"/>
  <c r="AD31" i="3"/>
  <c r="AB31" i="3"/>
  <c r="AC31" i="3" s="1"/>
  <c r="S31" i="3"/>
  <c r="V31" i="3" s="1"/>
  <c r="I31" i="3"/>
  <c r="B31" i="3"/>
  <c r="M31" i="3" s="1"/>
  <c r="AE30" i="3"/>
  <c r="AD30" i="3"/>
  <c r="AC30" i="3"/>
  <c r="AB30" i="3"/>
  <c r="S30" i="3"/>
  <c r="V30" i="3" s="1"/>
  <c r="I30" i="3"/>
  <c r="B30" i="3"/>
  <c r="M30" i="3" s="1"/>
  <c r="AE29" i="3"/>
  <c r="AD29" i="3"/>
  <c r="AC29" i="3"/>
  <c r="AB29" i="3"/>
  <c r="S29" i="3"/>
  <c r="V29" i="3" s="1"/>
  <c r="I29" i="3"/>
  <c r="B29" i="3"/>
  <c r="M29" i="3" s="1"/>
  <c r="AE28" i="3"/>
  <c r="AD28" i="3"/>
  <c r="AC28" i="3"/>
  <c r="AB28" i="3"/>
  <c r="S28" i="3"/>
  <c r="I28" i="3"/>
  <c r="B28" i="3"/>
  <c r="M28" i="3" s="1"/>
  <c r="AE27" i="3"/>
  <c r="AD27" i="3"/>
  <c r="AC27" i="3"/>
  <c r="AB27" i="3"/>
  <c r="S27" i="3"/>
  <c r="V27" i="3" s="1"/>
  <c r="I27" i="3"/>
  <c r="B27" i="3"/>
  <c r="AE26" i="3"/>
  <c r="AD26" i="3"/>
  <c r="AC26" i="3"/>
  <c r="AB26" i="3"/>
  <c r="S26" i="3"/>
  <c r="V26" i="3" s="1"/>
  <c r="I26" i="3"/>
  <c r="B26" i="3"/>
  <c r="M26" i="3" s="1"/>
  <c r="AE25" i="3"/>
  <c r="AD25" i="3"/>
  <c r="AC25" i="3"/>
  <c r="AB25" i="3"/>
  <c r="S25" i="3"/>
  <c r="V25" i="3" s="1"/>
  <c r="I25" i="3"/>
  <c r="B25" i="3"/>
  <c r="M25" i="3" s="1"/>
  <c r="AE24" i="3"/>
  <c r="AD24" i="3"/>
  <c r="AC24" i="3"/>
  <c r="AB24" i="3"/>
  <c r="S24" i="3"/>
  <c r="V24" i="3" s="1"/>
  <c r="I24" i="3"/>
  <c r="B24" i="3"/>
  <c r="M24" i="3" s="1"/>
  <c r="AE23" i="3"/>
  <c r="AD23" i="3"/>
  <c r="AC23" i="3"/>
  <c r="AB23" i="3"/>
  <c r="I23" i="3"/>
  <c r="B23" i="3"/>
  <c r="M23" i="3" s="1"/>
  <c r="AE22" i="3"/>
  <c r="AD22" i="3"/>
  <c r="AC22" i="3"/>
  <c r="AB22" i="3"/>
  <c r="I22" i="3"/>
  <c r="B22" i="3"/>
  <c r="M22" i="3" s="1"/>
  <c r="AE21" i="3"/>
  <c r="AD21" i="3"/>
  <c r="AC21" i="3"/>
  <c r="AB21" i="3"/>
  <c r="I21" i="3"/>
  <c r="B21" i="3"/>
  <c r="M21" i="3" s="1"/>
  <c r="AE20" i="3"/>
  <c r="AD20" i="3"/>
  <c r="AC20" i="3"/>
  <c r="AB20" i="3"/>
  <c r="I20" i="3"/>
  <c r="B20" i="3"/>
  <c r="AE19" i="3"/>
  <c r="AD19" i="3"/>
  <c r="AC19" i="3"/>
  <c r="AB19" i="3"/>
  <c r="I19" i="3"/>
  <c r="B19" i="3"/>
  <c r="AE18" i="3"/>
  <c r="AD18" i="3"/>
  <c r="AB18" i="3"/>
  <c r="AC18" i="3" s="1"/>
  <c r="I18" i="3"/>
  <c r="B18" i="3"/>
  <c r="AE17" i="3"/>
  <c r="AD17" i="3"/>
  <c r="AB17" i="3"/>
  <c r="AC17" i="3" s="1"/>
  <c r="I17" i="3"/>
  <c r="B17" i="3"/>
  <c r="M17" i="3" s="1"/>
  <c r="AE16" i="3"/>
  <c r="AD16" i="3"/>
  <c r="AB16" i="3"/>
  <c r="AC16" i="3" s="1"/>
  <c r="I16" i="3"/>
  <c r="R32" i="3" s="1"/>
  <c r="T32" i="3" s="1"/>
  <c r="B16" i="3"/>
  <c r="M16" i="3" s="1"/>
  <c r="AE15" i="3"/>
  <c r="AD15" i="3"/>
  <c r="AB15" i="3"/>
  <c r="AC15" i="3" s="1"/>
  <c r="W15" i="3"/>
  <c r="V15" i="3"/>
  <c r="Q15" i="3"/>
  <c r="I15" i="3"/>
  <c r="B15" i="3"/>
  <c r="AE14" i="3"/>
  <c r="AD14" i="3"/>
  <c r="AB14" i="3"/>
  <c r="AC14" i="3" s="1"/>
  <c r="W14" i="3"/>
  <c r="V14" i="3"/>
  <c r="Q14" i="3"/>
  <c r="I14" i="3"/>
  <c r="B14" i="3"/>
  <c r="AE13" i="3"/>
  <c r="AD13" i="3"/>
  <c r="AC13" i="3"/>
  <c r="AB13" i="3"/>
  <c r="W13" i="3"/>
  <c r="V13" i="3"/>
  <c r="Q13" i="3"/>
  <c r="I13" i="3"/>
  <c r="B13" i="3"/>
  <c r="AE12" i="3"/>
  <c r="AD12" i="3"/>
  <c r="AC12" i="3"/>
  <c r="AB12" i="3"/>
  <c r="W12" i="3"/>
  <c r="V12" i="3"/>
  <c r="K13" i="3" s="1"/>
  <c r="Q12" i="3"/>
  <c r="K14" i="3" s="1"/>
  <c r="I12" i="3"/>
  <c r="B12" i="3"/>
  <c r="K12" i="3" s="1"/>
  <c r="AE11" i="3"/>
  <c r="AD11" i="3"/>
  <c r="AC11" i="3"/>
  <c r="AB11" i="3"/>
  <c r="W11" i="3"/>
  <c r="V11" i="3"/>
  <c r="Q11" i="3"/>
  <c r="K11" i="3"/>
  <c r="I11" i="3"/>
  <c r="B11" i="3"/>
  <c r="AE10" i="3"/>
  <c r="AD10" i="3"/>
  <c r="AB10" i="3"/>
  <c r="AC10" i="3" s="1"/>
  <c r="W10" i="3"/>
  <c r="V10" i="3"/>
  <c r="Q10" i="3"/>
  <c r="M10" i="3"/>
  <c r="I10" i="3"/>
  <c r="B10" i="3"/>
  <c r="AE9" i="3"/>
  <c r="AD9" i="3"/>
  <c r="AC9" i="3"/>
  <c r="AB9" i="3"/>
  <c r="W9" i="3"/>
  <c r="V9" i="3"/>
  <c r="K10" i="3" s="1"/>
  <c r="Q9" i="3"/>
  <c r="K28" i="3" s="1"/>
  <c r="I9" i="3"/>
  <c r="B9" i="3"/>
  <c r="M9" i="3" s="1"/>
  <c r="AE8" i="3"/>
  <c r="AD8" i="3"/>
  <c r="U34" i="3" s="1"/>
  <c r="AC8" i="3"/>
  <c r="AB8" i="3"/>
  <c r="I8" i="3"/>
  <c r="R31" i="3" s="1"/>
  <c r="T31" i="3" s="1"/>
  <c r="B8" i="3"/>
  <c r="M8" i="3" s="1"/>
  <c r="AE7" i="3"/>
  <c r="AD7" i="3"/>
  <c r="AC7" i="3"/>
  <c r="V33" i="3" s="1"/>
  <c r="AB7" i="3"/>
  <c r="I7" i="3"/>
  <c r="B7" i="3"/>
  <c r="Y30" i="3" s="1"/>
  <c r="S2" i="3"/>
  <c r="F52" i="7"/>
  <c r="F48" i="7"/>
  <c r="I47" i="7"/>
  <c r="B46" i="7"/>
  <c r="D45" i="7"/>
  <c r="F44" i="7"/>
  <c r="I43" i="7"/>
  <c r="B42" i="7"/>
  <c r="D41" i="7"/>
  <c r="F40" i="7"/>
  <c r="I39" i="7"/>
  <c r="M38" i="7"/>
  <c r="B38" i="7"/>
  <c r="D37" i="7"/>
  <c r="F36" i="7"/>
  <c r="I35" i="7"/>
  <c r="M34" i="7"/>
  <c r="B34" i="7"/>
  <c r="D33" i="7"/>
  <c r="F32" i="7"/>
  <c r="I31" i="7"/>
  <c r="B30" i="7"/>
  <c r="D29" i="7"/>
  <c r="F28" i="7"/>
  <c r="I27" i="7"/>
  <c r="B26" i="7"/>
  <c r="D25" i="7"/>
  <c r="F24" i="7"/>
  <c r="I23" i="7"/>
  <c r="M22" i="7"/>
  <c r="B22" i="7"/>
  <c r="D21" i="7"/>
  <c r="F20" i="7"/>
  <c r="I19" i="7"/>
  <c r="B18" i="7"/>
  <c r="E14" i="7"/>
  <c r="D11" i="7"/>
  <c r="F9" i="7"/>
  <c r="L9" i="8"/>
  <c r="D52" i="7"/>
  <c r="E48" i="7"/>
  <c r="G47" i="7"/>
  <c r="A46" i="7"/>
  <c r="C45" i="7"/>
  <c r="E44" i="7"/>
  <c r="G43" i="7"/>
  <c r="A42" i="7"/>
  <c r="C41" i="7"/>
  <c r="E40" i="7"/>
  <c r="G39" i="7"/>
  <c r="A38" i="7"/>
  <c r="C37" i="7"/>
  <c r="E36" i="7"/>
  <c r="G35" i="7"/>
  <c r="A34" i="7"/>
  <c r="C33" i="7"/>
  <c r="E32" i="7"/>
  <c r="G31" i="7"/>
  <c r="K30" i="7"/>
  <c r="A30" i="7"/>
  <c r="C29" i="7"/>
  <c r="E28" i="7"/>
  <c r="G27" i="7"/>
  <c r="A26" i="7"/>
  <c r="C25" i="7"/>
  <c r="E24" i="7"/>
  <c r="G23" i="7"/>
  <c r="K22" i="7"/>
  <c r="A22" i="7"/>
  <c r="C21" i="7"/>
  <c r="E20" i="7"/>
  <c r="G19" i="7"/>
  <c r="A18" i="7"/>
  <c r="D14" i="7"/>
  <c r="F12" i="7"/>
  <c r="C11" i="7"/>
  <c r="E9" i="7"/>
  <c r="I9" i="8"/>
  <c r="D48" i="7"/>
  <c r="F47" i="7"/>
  <c r="I46" i="7"/>
  <c r="B45" i="7"/>
  <c r="D44" i="7"/>
  <c r="F43" i="7"/>
  <c r="I42" i="7"/>
  <c r="B41" i="7"/>
  <c r="D40" i="7"/>
  <c r="F39" i="7"/>
  <c r="I38" i="7"/>
  <c r="M37" i="7"/>
  <c r="B37" i="7"/>
  <c r="D36" i="7"/>
  <c r="F35" i="7"/>
  <c r="I34" i="7"/>
  <c r="B33" i="7"/>
  <c r="D32" i="7"/>
  <c r="F31" i="7"/>
  <c r="I30" i="7"/>
  <c r="B29" i="7"/>
  <c r="D28" i="7"/>
  <c r="F27" i="7"/>
  <c r="I26" i="7"/>
  <c r="B25" i="7"/>
  <c r="D24" i="7"/>
  <c r="F23" i="7"/>
  <c r="I22" i="7"/>
  <c r="B21" i="7"/>
  <c r="D20" i="7"/>
  <c r="F19" i="7"/>
  <c r="I18" i="7"/>
  <c r="F15" i="7"/>
  <c r="C14" i="7"/>
  <c r="E12" i="7"/>
  <c r="D9" i="7"/>
  <c r="H9" i="8"/>
  <c r="C48" i="7"/>
  <c r="E47" i="7"/>
  <c r="G46" i="7"/>
  <c r="A45" i="7"/>
  <c r="C44" i="7"/>
  <c r="E43" i="7"/>
  <c r="G42" i="7"/>
  <c r="K41" i="7"/>
  <c r="A41" i="7"/>
  <c r="C40" i="7"/>
  <c r="E39" i="7"/>
  <c r="G38" i="7"/>
  <c r="A37" i="7"/>
  <c r="C36" i="7"/>
  <c r="E35" i="7"/>
  <c r="G34" i="7"/>
  <c r="K33" i="7"/>
  <c r="A33" i="7"/>
  <c r="C32" i="7"/>
  <c r="E31" i="7"/>
  <c r="G30" i="7"/>
  <c r="A29" i="7"/>
  <c r="C28" i="7"/>
  <c r="E27" i="7"/>
  <c r="G26" i="7"/>
  <c r="A25" i="7"/>
  <c r="C24" i="7"/>
  <c r="E23" i="7"/>
  <c r="G22" i="7"/>
  <c r="A21" i="7"/>
  <c r="C20" i="7"/>
  <c r="E19" i="7"/>
  <c r="G18" i="7"/>
  <c r="E15" i="7"/>
  <c r="D12" i="7"/>
  <c r="F10" i="7"/>
  <c r="C9" i="7"/>
  <c r="G9" i="8"/>
  <c r="B48" i="7"/>
  <c r="D47" i="7"/>
  <c r="F46" i="7"/>
  <c r="I45" i="7"/>
  <c r="B44" i="7"/>
  <c r="D43" i="7"/>
  <c r="F42" i="7"/>
  <c r="I41" i="7"/>
  <c r="M40" i="7"/>
  <c r="B40" i="7"/>
  <c r="D39" i="7"/>
  <c r="F38" i="7"/>
  <c r="I37" i="7"/>
  <c r="B36" i="7"/>
  <c r="D35" i="7"/>
  <c r="F34" i="7"/>
  <c r="I33" i="7"/>
  <c r="B32" i="7"/>
  <c r="D31" i="7"/>
  <c r="F30" i="7"/>
  <c r="I29" i="7"/>
  <c r="M28" i="7"/>
  <c r="B28" i="7"/>
  <c r="D27" i="7"/>
  <c r="F26" i="7"/>
  <c r="I25" i="7"/>
  <c r="M24" i="7"/>
  <c r="B24" i="7"/>
  <c r="D23" i="7"/>
  <c r="F22" i="7"/>
  <c r="I21" i="7"/>
  <c r="M20" i="7"/>
  <c r="B20" i="7"/>
  <c r="D19" i="7"/>
  <c r="F18" i="7"/>
  <c r="D15" i="7"/>
  <c r="F13" i="7"/>
  <c r="C12" i="7"/>
  <c r="E10" i="7"/>
  <c r="L10" i="8"/>
  <c r="F9" i="8"/>
  <c r="A48" i="7"/>
  <c r="C47" i="7"/>
  <c r="E46" i="7"/>
  <c r="G45" i="7"/>
  <c r="A44" i="7"/>
  <c r="C43" i="7"/>
  <c r="E42" i="7"/>
  <c r="G41" i="7"/>
  <c r="A40" i="7"/>
  <c r="C39" i="7"/>
  <c r="E38" i="7"/>
  <c r="G37" i="7"/>
  <c r="A36" i="7"/>
  <c r="C35" i="7"/>
  <c r="E34" i="7"/>
  <c r="G33" i="7"/>
  <c r="A32" i="7"/>
  <c r="C31" i="7"/>
  <c r="E30" i="7"/>
  <c r="G29" i="7"/>
  <c r="K28" i="7"/>
  <c r="A28" i="7"/>
  <c r="C27" i="7"/>
  <c r="E26" i="7"/>
  <c r="G25" i="7"/>
  <c r="A24" i="7"/>
  <c r="C23" i="7"/>
  <c r="E22" i="7"/>
  <c r="G21" i="7"/>
  <c r="A20" i="7"/>
  <c r="C19" i="7"/>
  <c r="E18" i="7"/>
  <c r="C15" i="7"/>
  <c r="E13" i="7"/>
  <c r="D10" i="7"/>
  <c r="B5" i="7"/>
  <c r="I10" i="8"/>
  <c r="E9" i="8"/>
  <c r="I48" i="7"/>
  <c r="B47" i="7"/>
  <c r="D46" i="7"/>
  <c r="F45" i="7"/>
  <c r="I44" i="7"/>
  <c r="B43" i="7"/>
  <c r="D42" i="7"/>
  <c r="F41" i="7"/>
  <c r="I40" i="7"/>
  <c r="B39" i="7"/>
  <c r="D38" i="7"/>
  <c r="F37" i="7"/>
  <c r="I36" i="7"/>
  <c r="M35" i="7"/>
  <c r="B35" i="7"/>
  <c r="D34" i="7"/>
  <c r="F33" i="7"/>
  <c r="I32" i="7"/>
  <c r="M31" i="7"/>
  <c r="B31" i="7"/>
  <c r="D30" i="7"/>
  <c r="F29" i="7"/>
  <c r="I28" i="7"/>
  <c r="M27" i="7"/>
  <c r="B27" i="7"/>
  <c r="D26" i="7"/>
  <c r="F25" i="7"/>
  <c r="I24" i="7"/>
  <c r="B23" i="7"/>
  <c r="D22" i="7"/>
  <c r="F21" i="7"/>
  <c r="I20" i="7"/>
  <c r="M19" i="7"/>
  <c r="B19" i="7"/>
  <c r="D18" i="7"/>
  <c r="D13" i="7"/>
  <c r="F11" i="7"/>
  <c r="C10" i="7"/>
  <c r="B4" i="7"/>
  <c r="H10" i="8"/>
  <c r="D9" i="8"/>
  <c r="G48" i="7"/>
  <c r="A47" i="7"/>
  <c r="C46" i="7"/>
  <c r="E45" i="7"/>
  <c r="G44" i="7"/>
  <c r="A43" i="7"/>
  <c r="C42" i="7"/>
  <c r="E41" i="7"/>
  <c r="G40" i="7"/>
  <c r="K39" i="7"/>
  <c r="A39" i="7"/>
  <c r="C38" i="7"/>
  <c r="E37" i="7"/>
  <c r="G36" i="7"/>
  <c r="K35" i="7"/>
  <c r="A35" i="7"/>
  <c r="C34" i="7"/>
  <c r="E33" i="7"/>
  <c r="G32" i="7"/>
  <c r="A31" i="7"/>
  <c r="C30" i="7"/>
  <c r="E29" i="7"/>
  <c r="G28" i="7"/>
  <c r="A27" i="7"/>
  <c r="C26" i="7"/>
  <c r="E25" i="7"/>
  <c r="G24" i="7"/>
  <c r="A23" i="7"/>
  <c r="C22" i="7"/>
  <c r="E21" i="7"/>
  <c r="G20" i="7"/>
  <c r="A19" i="7"/>
  <c r="C18" i="7"/>
  <c r="F14" i="7"/>
  <c r="C13" i="7"/>
  <c r="E11" i="7"/>
  <c r="B3" i="7"/>
  <c r="Q9" i="8" l="1"/>
  <c r="P9" i="8"/>
  <c r="A52" i="7"/>
  <c r="M9" i="8"/>
  <c r="N9" i="8"/>
  <c r="R34" i="3"/>
  <c r="T34" i="3" s="1"/>
  <c r="R33" i="4"/>
  <c r="T33" i="4" s="1"/>
  <c r="M19" i="3"/>
  <c r="K19" i="3"/>
  <c r="R33" i="3"/>
  <c r="T33" i="3" s="1"/>
  <c r="R35" i="3"/>
  <c r="T35" i="3" s="1"/>
  <c r="M18" i="3"/>
  <c r="M11" i="3"/>
  <c r="V34" i="3"/>
  <c r="U35" i="3"/>
  <c r="V33" i="5"/>
  <c r="R33" i="5"/>
  <c r="T33" i="5" s="1"/>
  <c r="M27" i="3"/>
  <c r="S18" i="3"/>
  <c r="U33" i="3"/>
  <c r="M13" i="3"/>
  <c r="U27" i="3" s="1"/>
  <c r="M33" i="5"/>
  <c r="M12" i="3"/>
  <c r="R26" i="3" s="1"/>
  <c r="T26" i="3" s="1"/>
  <c r="K15" i="3"/>
  <c r="R24" i="3"/>
  <c r="T24" i="3" s="1"/>
  <c r="R25" i="3"/>
  <c r="T25" i="3" s="1"/>
  <c r="R30" i="3"/>
  <c r="T30" i="3" s="1"/>
  <c r="K33" i="3"/>
  <c r="V35" i="3"/>
  <c r="K37" i="4"/>
  <c r="K13" i="4"/>
  <c r="K16" i="4"/>
  <c r="K17" i="4"/>
  <c r="K18" i="4"/>
  <c r="K19" i="4"/>
  <c r="M20" i="4"/>
  <c r="K21" i="4"/>
  <c r="K22" i="4"/>
  <c r="K23" i="4"/>
  <c r="K24" i="4"/>
  <c r="W24" i="4" s="1"/>
  <c r="M25" i="4"/>
  <c r="V30" i="4"/>
  <c r="M31" i="4"/>
  <c r="M33" i="4"/>
  <c r="M34" i="4"/>
  <c r="K34" i="4"/>
  <c r="K36" i="4"/>
  <c r="M37" i="4"/>
  <c r="K7" i="5"/>
  <c r="K8" i="5"/>
  <c r="K9" i="5"/>
  <c r="K12" i="5"/>
  <c r="M25" i="5"/>
  <c r="K30" i="5"/>
  <c r="V31" i="5"/>
  <c r="U31" i="5"/>
  <c r="M36" i="5"/>
  <c r="R33" i="6"/>
  <c r="T33" i="6" s="1"/>
  <c r="V33" i="6"/>
  <c r="K21" i="6"/>
  <c r="M22" i="6"/>
  <c r="V24" i="6"/>
  <c r="K25" i="6"/>
  <c r="W25" i="6" s="1"/>
  <c r="M30" i="6"/>
  <c r="M15" i="3"/>
  <c r="R29" i="3" s="1"/>
  <c r="T29" i="3" s="1"/>
  <c r="M33" i="3"/>
  <c r="M13" i="4"/>
  <c r="U27" i="4" s="1"/>
  <c r="K14" i="4"/>
  <c r="M16" i="4"/>
  <c r="M17" i="4"/>
  <c r="R24" i="4" s="1"/>
  <c r="T24" i="4" s="1"/>
  <c r="M18" i="4"/>
  <c r="M21" i="4"/>
  <c r="M22" i="4"/>
  <c r="M23" i="4"/>
  <c r="M24" i="4"/>
  <c r="R25" i="4"/>
  <c r="T25" i="4" s="1"/>
  <c r="V29" i="4"/>
  <c r="Y30" i="4"/>
  <c r="V35" i="4"/>
  <c r="M36" i="4"/>
  <c r="M7" i="5"/>
  <c r="V28" i="5" s="1"/>
  <c r="M8" i="5"/>
  <c r="M9" i="5"/>
  <c r="W26" i="5"/>
  <c r="M12" i="5"/>
  <c r="M13" i="5"/>
  <c r="M19" i="5"/>
  <c r="K19" i="5"/>
  <c r="X26" i="5"/>
  <c r="K27" i="5"/>
  <c r="U28" i="5"/>
  <c r="M30" i="5"/>
  <c r="T31" i="5"/>
  <c r="K33" i="5"/>
  <c r="R34" i="6"/>
  <c r="T34" i="6" s="1"/>
  <c r="K12" i="6"/>
  <c r="K18" i="6"/>
  <c r="M21" i="6"/>
  <c r="M25" i="6"/>
  <c r="V27" i="6"/>
  <c r="U30" i="6"/>
  <c r="M35" i="6"/>
  <c r="M20" i="5"/>
  <c r="R27" i="5" s="1"/>
  <c r="T27" i="5" s="1"/>
  <c r="K24" i="5"/>
  <c r="V25" i="5"/>
  <c r="M15" i="6"/>
  <c r="K15" i="6"/>
  <c r="X29" i="6" s="1"/>
  <c r="X30" i="6"/>
  <c r="U25" i="6"/>
  <c r="X27" i="6"/>
  <c r="M28" i="6"/>
  <c r="K16" i="3"/>
  <c r="K17" i="3"/>
  <c r="W24" i="3" s="1"/>
  <c r="K18" i="3"/>
  <c r="W25" i="3" s="1"/>
  <c r="U24" i="3"/>
  <c r="U25" i="3"/>
  <c r="U26" i="3"/>
  <c r="U28" i="3"/>
  <c r="U29" i="3"/>
  <c r="U30" i="3"/>
  <c r="U31" i="3"/>
  <c r="K32" i="3"/>
  <c r="M14" i="4"/>
  <c r="U26" i="4"/>
  <c r="K29" i="4"/>
  <c r="K32" i="4"/>
  <c r="K10" i="5"/>
  <c r="W24" i="5" s="1"/>
  <c r="K13" i="5"/>
  <c r="W27" i="5" s="1"/>
  <c r="M18" i="5"/>
  <c r="U25" i="5" s="1"/>
  <c r="K18" i="5"/>
  <c r="W25" i="5" s="1"/>
  <c r="M21" i="5"/>
  <c r="M22" i="5"/>
  <c r="M23" i="5"/>
  <c r="M24" i="5"/>
  <c r="X28" i="5"/>
  <c r="K29" i="5"/>
  <c r="V30" i="5"/>
  <c r="U30" i="5"/>
  <c r="K16" i="6"/>
  <c r="M18" i="6"/>
  <c r="V25" i="6" s="1"/>
  <c r="K26" i="6"/>
  <c r="U28" i="6"/>
  <c r="M34" i="6"/>
  <c r="U27" i="6" s="1"/>
  <c r="K22" i="5"/>
  <c r="M14" i="6"/>
  <c r="K37" i="3"/>
  <c r="W25" i="4"/>
  <c r="X30" i="4"/>
  <c r="U25" i="4"/>
  <c r="X27" i="4"/>
  <c r="K28" i="4"/>
  <c r="U31" i="4"/>
  <c r="K35" i="4"/>
  <c r="M10" i="5"/>
  <c r="R24" i="5" s="1"/>
  <c r="T24" i="5" s="1"/>
  <c r="M11" i="5"/>
  <c r="R25" i="5" s="1"/>
  <c r="T25" i="5" s="1"/>
  <c r="X25" i="5"/>
  <c r="K26" i="5"/>
  <c r="V27" i="5"/>
  <c r="U27" i="5"/>
  <c r="M29" i="5"/>
  <c r="U33" i="5"/>
  <c r="M34" i="5"/>
  <c r="M35" i="5"/>
  <c r="K35" i="5"/>
  <c r="R27" i="6"/>
  <c r="T27" i="6" s="1"/>
  <c r="R26" i="6"/>
  <c r="T26" i="6" s="1"/>
  <c r="W26" i="6"/>
  <c r="K9" i="6"/>
  <c r="K29" i="6"/>
  <c r="M33" i="6"/>
  <c r="M37" i="6"/>
  <c r="R30" i="6" s="1"/>
  <c r="T30" i="6" s="1"/>
  <c r="V33" i="4"/>
  <c r="U33" i="4"/>
  <c r="K21" i="5"/>
  <c r="M27" i="5"/>
  <c r="K34" i="3"/>
  <c r="K36" i="3"/>
  <c r="S18" i="4"/>
  <c r="K27" i="4"/>
  <c r="R35" i="5"/>
  <c r="T35" i="5" s="1"/>
  <c r="M14" i="5"/>
  <c r="M17" i="5"/>
  <c r="K17" i="5"/>
  <c r="V24" i="5"/>
  <c r="U24" i="5"/>
  <c r="M26" i="5"/>
  <c r="K31" i="5"/>
  <c r="V31" i="6"/>
  <c r="R31" i="6"/>
  <c r="T31" i="6" s="1"/>
  <c r="S18" i="6"/>
  <c r="K8" i="6"/>
  <c r="W29" i="6" s="1"/>
  <c r="M10" i="6"/>
  <c r="R24" i="6" s="1"/>
  <c r="T24" i="6" s="1"/>
  <c r="K10" i="6"/>
  <c r="W24" i="6" s="1"/>
  <c r="U26" i="6"/>
  <c r="K32" i="6"/>
  <c r="K20" i="3"/>
  <c r="W27" i="3" s="1"/>
  <c r="K8" i="3"/>
  <c r="M14" i="3"/>
  <c r="K21" i="3"/>
  <c r="K23" i="3"/>
  <c r="K24" i="3"/>
  <c r="X25" i="3"/>
  <c r="X26" i="3"/>
  <c r="K27" i="3"/>
  <c r="X28" i="3"/>
  <c r="K29" i="3"/>
  <c r="X29" i="3"/>
  <c r="K30" i="3"/>
  <c r="X30" i="3"/>
  <c r="K31" i="3"/>
  <c r="M34" i="3"/>
  <c r="R27" i="3" s="1"/>
  <c r="T27" i="3" s="1"/>
  <c r="K7" i="4"/>
  <c r="K8" i="4"/>
  <c r="X29" i="4" s="1"/>
  <c r="K9" i="4"/>
  <c r="W30" i="4" s="1"/>
  <c r="K12" i="4"/>
  <c r="W26" i="4" s="1"/>
  <c r="M15" i="4"/>
  <c r="M19" i="4"/>
  <c r="R26" i="4" s="1"/>
  <c r="T26" i="4" s="1"/>
  <c r="K20" i="4"/>
  <c r="W27" i="4" s="1"/>
  <c r="X25" i="4"/>
  <c r="K26" i="4"/>
  <c r="Y26" i="4"/>
  <c r="K31" i="4"/>
  <c r="K15" i="5"/>
  <c r="R26" i="5"/>
  <c r="T26" i="5" s="1"/>
  <c r="X27" i="5"/>
  <c r="K28" i="5"/>
  <c r="V29" i="5"/>
  <c r="U29" i="5"/>
  <c r="M31" i="5"/>
  <c r="M32" i="5"/>
  <c r="K32" i="5"/>
  <c r="V34" i="5"/>
  <c r="U34" i="5"/>
  <c r="K7" i="6"/>
  <c r="M32" i="6"/>
  <c r="K23" i="6"/>
  <c r="K27" i="6"/>
  <c r="U29" i="6"/>
  <c r="M31" i="6"/>
  <c r="K31" i="6"/>
  <c r="K20" i="5"/>
  <c r="K14" i="5"/>
  <c r="K23" i="5"/>
  <c r="K34" i="5"/>
  <c r="K7" i="3"/>
  <c r="K9" i="3"/>
  <c r="M20" i="3"/>
  <c r="K22" i="3"/>
  <c r="X24" i="3"/>
  <c r="K25" i="3"/>
  <c r="K26" i="3"/>
  <c r="W26" i="3" s="1"/>
  <c r="X27" i="3"/>
  <c r="M7" i="3"/>
  <c r="V28" i="3" s="1"/>
  <c r="Y24" i="3"/>
  <c r="Y25" i="3"/>
  <c r="Y26" i="3"/>
  <c r="Y27" i="3"/>
  <c r="Y28" i="3"/>
  <c r="Y29" i="3"/>
  <c r="M36" i="3"/>
  <c r="M7" i="4"/>
  <c r="M8" i="4"/>
  <c r="M9" i="4"/>
  <c r="R30" i="4" s="1"/>
  <c r="T30" i="4" s="1"/>
  <c r="X24" i="4"/>
  <c r="Y25" i="4"/>
  <c r="R27" i="4"/>
  <c r="T27" i="4" s="1"/>
  <c r="K33" i="4"/>
  <c r="S18" i="5"/>
  <c r="M16" i="5"/>
  <c r="K16" i="5"/>
  <c r="X24" i="5"/>
  <c r="K25" i="5"/>
  <c r="V26" i="5"/>
  <c r="U26" i="5"/>
  <c r="M28" i="5"/>
  <c r="K36" i="5"/>
  <c r="M7" i="6"/>
  <c r="R28" i="6" s="1"/>
  <c r="T28" i="6" s="1"/>
  <c r="M12" i="6"/>
  <c r="U24" i="6"/>
  <c r="X26" i="6"/>
  <c r="V29" i="6"/>
  <c r="M36" i="6"/>
  <c r="K14" i="6"/>
  <c r="M19" i="6"/>
  <c r="K20" i="6"/>
  <c r="K34" i="6"/>
  <c r="U35" i="6"/>
  <c r="K36" i="6"/>
  <c r="K37" i="6"/>
  <c r="U32" i="6"/>
  <c r="K33" i="6"/>
  <c r="K13" i="6"/>
  <c r="U34" i="6"/>
  <c r="K35" i="6"/>
  <c r="M41" i="7"/>
  <c r="M36" i="7"/>
  <c r="K37" i="7"/>
  <c r="K20" i="7"/>
  <c r="K25" i="7"/>
  <c r="K44" i="7"/>
  <c r="K38" i="7"/>
  <c r="M30" i="7"/>
  <c r="K45" i="7"/>
  <c r="M48" i="7"/>
  <c r="K42" i="7"/>
  <c r="M26" i="7"/>
  <c r="K19" i="7"/>
  <c r="M23" i="7"/>
  <c r="K32" i="7"/>
  <c r="K26" i="7"/>
  <c r="M45" i="7"/>
  <c r="M21" i="7"/>
  <c r="M18" i="7"/>
  <c r="K31" i="7"/>
  <c r="K46" i="7"/>
  <c r="K36" i="7"/>
  <c r="M33" i="7"/>
  <c r="K40" i="7"/>
  <c r="K21" i="7"/>
  <c r="M46" i="7"/>
  <c r="M25" i="7"/>
  <c r="M44" i="7"/>
  <c r="M42" i="7"/>
  <c r="K23" i="7"/>
  <c r="K18" i="7"/>
  <c r="K47" i="7"/>
  <c r="K29" i="7"/>
  <c r="M39" i="7"/>
  <c r="M29" i="7"/>
  <c r="M43" i="7"/>
  <c r="K48" i="7"/>
  <c r="M32" i="7"/>
  <c r="K34" i="7"/>
  <c r="M47" i="7"/>
  <c r="K24" i="7"/>
  <c r="K27" i="7"/>
  <c r="K43" i="7"/>
  <c r="B52" i="7" l="1"/>
  <c r="W29" i="3"/>
  <c r="W29" i="4"/>
  <c r="V30" i="6"/>
  <c r="W28" i="5"/>
  <c r="Y28" i="5"/>
  <c r="S19" i="5"/>
  <c r="S19" i="4"/>
  <c r="R25" i="6"/>
  <c r="T25" i="6" s="1"/>
  <c r="Y25" i="6"/>
  <c r="R28" i="3"/>
  <c r="T28" i="3" s="1"/>
  <c r="O9" i="8"/>
  <c r="S19" i="6"/>
  <c r="W27" i="6"/>
  <c r="W30" i="3"/>
  <c r="W28" i="6"/>
  <c r="R30" i="5"/>
  <c r="T30" i="5" s="1"/>
  <c r="R29" i="4"/>
  <c r="T29" i="4" s="1"/>
  <c r="U29" i="4"/>
  <c r="S20" i="6"/>
  <c r="S20" i="4"/>
  <c r="V28" i="4"/>
  <c r="S20" i="3"/>
  <c r="S19" i="3"/>
  <c r="W28" i="3"/>
  <c r="Y28" i="6"/>
  <c r="V28" i="6"/>
  <c r="R29" i="6"/>
  <c r="T29" i="6" s="1"/>
  <c r="Y29" i="6"/>
  <c r="R29" i="5"/>
  <c r="T29" i="5" s="1"/>
  <c r="Y27" i="6"/>
  <c r="X25" i="6"/>
  <c r="W30" i="6"/>
  <c r="Y28" i="4"/>
  <c r="S20" i="5"/>
  <c r="R28" i="5"/>
  <c r="T28" i="5" s="1"/>
  <c r="W30" i="5"/>
  <c r="X28" i="6"/>
  <c r="V26" i="6"/>
  <c r="R28" i="4"/>
  <c r="T28" i="4" s="1"/>
  <c r="Y30" i="6"/>
  <c r="W28" i="4"/>
  <c r="W29" i="5"/>
  <c r="X29" i="5"/>
  <c r="G10" i="8"/>
  <c r="F10" i="8"/>
  <c r="E10" i="8"/>
  <c r="D10" i="8"/>
  <c r="P10" i="8" l="1"/>
  <c r="Q10" i="8"/>
  <c r="M10" i="8"/>
  <c r="O10" i="8" s="1"/>
  <c r="N1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00000000-0006-0000-0100-000001000000}">
      <text>
        <r>
          <rPr>
            <sz val="11"/>
            <color rgb="FF000000"/>
            <rFont val="Calibri"/>
            <family val="2"/>
            <charset val="1"/>
          </rPr>
          <t>Adicional de dias da semana para horários fora do período entre 22:00 e 05:00</t>
        </r>
      </text>
    </comment>
    <comment ref="A3" authorId="0" shapeId="0" xr:uid="{00000000-0006-0000-0100-000002000000}">
      <text>
        <r>
          <rPr>
            <sz val="11"/>
            <color rgb="FF000000"/>
            <rFont val="Calibri"/>
            <family val="2"/>
            <charset val="1"/>
          </rPr>
          <t>Adicional para trabalho nos sábados.</t>
        </r>
      </text>
    </comment>
    <comment ref="A4" authorId="0" shapeId="0" xr:uid="{00000000-0006-0000-0100-000003000000}">
      <text>
        <r>
          <rPr>
            <sz val="11"/>
            <color rgb="FF000000"/>
            <rFont val="Calibri"/>
            <family val="2"/>
            <charset val="1"/>
          </rPr>
          <t>Percentual da hora extra no domingo.</t>
        </r>
      </text>
    </comment>
    <comment ref="A5" authorId="0" shapeId="0" xr:uid="{00000000-0006-0000-0100-000004000000}">
      <text>
        <r>
          <rPr>
            <sz val="11"/>
            <color rgb="FF000000"/>
            <rFont val="Calibri"/>
            <family val="2"/>
            <charset val="1"/>
          </rPr>
          <t>Percentual acrescido para trabalhos realizados entre as 22:00 e 05:00</t>
        </r>
      </text>
    </comment>
    <comment ref="A6" authorId="0" shapeId="0" xr:uid="{00000000-0006-0000-0100-000005000000}">
      <text>
        <r>
          <rPr>
            <sz val="11"/>
            <color rgb="FF000000"/>
            <rFont val="Calibri"/>
            <family val="2"/>
            <charset val="1"/>
          </rPr>
          <t>Percentual para descanso semanal remunerado.</t>
        </r>
      </text>
    </comment>
    <comment ref="A7" authorId="0" shapeId="0" xr:uid="{00000000-0006-0000-0100-000006000000}">
      <text>
        <r>
          <rPr>
            <sz val="11"/>
            <color rgb="FF000000"/>
            <rFont val="Calibri"/>
            <family val="2"/>
            <charset val="1"/>
          </rPr>
          <t>Percentual a ser pago em feriados.</t>
        </r>
      </text>
    </comment>
    <comment ref="A8" authorId="0" shapeId="0" xr:uid="{00000000-0006-0000-0100-000007000000}">
      <text>
        <r>
          <rPr>
            <sz val="11"/>
            <color rgb="FF000000"/>
            <rFont val="Calibri"/>
            <family val="2"/>
            <charset val="1"/>
          </rPr>
          <t>Percentual acrescido para horas trabalhadas antes do descanso obrigatório de 11 horas entre jornadas.</t>
        </r>
      </text>
    </comment>
    <comment ref="A9" authorId="0" shapeId="0" xr:uid="{00000000-0006-0000-0100-000008000000}">
      <text>
        <r>
          <rPr>
            <sz val="11"/>
            <color rgb="FF000000"/>
            <rFont val="Calibri"/>
            <family val="2"/>
            <charset val="1"/>
          </rPr>
          <t>Percentual aplicado sobre horas trabalhadas durante o horário de almoço quando houver menos de uma hora de repouso.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35" authorId="0" shapeId="0" xr:uid="{00000000-0006-0000-0200-000001000000}">
      <text>
        <r>
          <rPr>
            <sz val="11"/>
            <color rgb="FF000000"/>
            <rFont val="Calibri"/>
            <family val="2"/>
            <charset val="1"/>
          </rPr>
          <t xml:space="preserve">Rieper:
</t>
        </r>
        <r>
          <rPr>
            <sz val="9"/>
            <color rgb="FF000000"/>
            <rFont val="Segoe UI"/>
            <family val="2"/>
            <charset val="1"/>
          </rPr>
          <t>Entre 22:00 h e 05:00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35" authorId="0" shapeId="0" xr:uid="{00000000-0006-0000-0300-000001000000}">
      <text>
        <r>
          <rPr>
            <sz val="11"/>
            <color rgb="FF000000"/>
            <rFont val="Calibri"/>
            <family val="2"/>
            <charset val="1"/>
          </rPr>
          <t xml:space="preserve">Rieper:
</t>
        </r>
        <r>
          <rPr>
            <sz val="9"/>
            <color rgb="FF000000"/>
            <rFont val="Segoe UI"/>
            <family val="2"/>
            <charset val="1"/>
          </rPr>
          <t>Entre 22:00 h e 05:00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35" authorId="0" shapeId="0" xr:uid="{00000000-0006-0000-0400-000001000000}">
      <text>
        <r>
          <rPr>
            <b/>
            <sz val="9"/>
            <color rgb="FF000000"/>
            <rFont val="Segoe UI"/>
            <family val="2"/>
            <charset val="1"/>
          </rPr>
          <t xml:space="preserve">Rieper:
</t>
        </r>
        <r>
          <rPr>
            <sz val="9"/>
            <color rgb="FF000000"/>
            <rFont val="Segoe UI"/>
            <family val="2"/>
            <charset val="1"/>
          </rPr>
          <t>Entre 22:00 h e 05:00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35" authorId="0" shapeId="0" xr:uid="{00000000-0006-0000-0500-000001000000}">
      <text>
        <r>
          <rPr>
            <sz val="11"/>
            <color rgb="FF000000"/>
            <rFont val="Calibri"/>
            <family val="2"/>
            <charset val="1"/>
          </rPr>
          <t xml:space="preserve">Rieper:
</t>
        </r>
        <r>
          <rPr>
            <sz val="9"/>
            <color rgb="FF000000"/>
            <rFont val="Segoe UI"/>
            <family val="2"/>
            <charset val="1"/>
          </rPr>
          <t>Entre 22:00 h e 05:00</t>
        </r>
      </text>
    </comment>
  </commentList>
</comments>
</file>

<file path=xl/sharedStrings.xml><?xml version="1.0" encoding="utf-8"?>
<sst xmlns="http://schemas.openxmlformats.org/spreadsheetml/2006/main" count="429" uniqueCount="93">
  <si>
    <t>Lançar</t>
  </si>
  <si>
    <t>Júlia Maria</t>
  </si>
  <si>
    <t>Acréscimos</t>
  </si>
  <si>
    <t>Valores</t>
  </si>
  <si>
    <t>Funcionários</t>
  </si>
  <si>
    <t>Dia da semana</t>
  </si>
  <si>
    <t>Josué Barbosa</t>
  </si>
  <si>
    <t>Sábado</t>
  </si>
  <si>
    <t>Laércio Moreira</t>
  </si>
  <si>
    <t>Domingo</t>
  </si>
  <si>
    <t>Davi Emanuel</t>
  </si>
  <si>
    <t>Noturno</t>
  </si>
  <si>
    <t>DSR</t>
  </si>
  <si>
    <t>Feriados</t>
  </si>
  <si>
    <t>Interjornada</t>
  </si>
  <si>
    <t>Intrajornada</t>
  </si>
  <si>
    <t>Tolerância</t>
  </si>
  <si>
    <t>Nome:</t>
  </si>
  <si>
    <t>Saldo mês anterior</t>
  </si>
  <si>
    <t>Salário Base</t>
  </si>
  <si>
    <t>Horas semanais</t>
  </si>
  <si>
    <t>Valor hora</t>
  </si>
  <si>
    <t>Departamento:</t>
  </si>
  <si>
    <t>Transporte</t>
  </si>
  <si>
    <t>Horas extras</t>
  </si>
  <si>
    <t>Cargo:</t>
  </si>
  <si>
    <t>Analista de Logística</t>
  </si>
  <si>
    <t>Horas neg.</t>
  </si>
  <si>
    <t>Matrícula:</t>
  </si>
  <si>
    <t>500-2</t>
  </si>
  <si>
    <t>Dia</t>
  </si>
  <si>
    <t>Classificação</t>
  </si>
  <si>
    <t>Início</t>
  </si>
  <si>
    <t>Intervalo</t>
  </si>
  <si>
    <t>Término</t>
  </si>
  <si>
    <t>Horas dia</t>
  </si>
  <si>
    <t>Horas negativas</t>
  </si>
  <si>
    <t>Ação</t>
  </si>
  <si>
    <t>Int. almoço</t>
  </si>
  <si>
    <t>Normal</t>
  </si>
  <si>
    <t>Hora extra</t>
  </si>
  <si>
    <t>Jornada</t>
  </si>
  <si>
    <t>Feriado</t>
  </si>
  <si>
    <t>Banco de horas</t>
  </si>
  <si>
    <t>Total</t>
  </si>
  <si>
    <t>Falta Justificada</t>
  </si>
  <si>
    <t>Folga(DSR)</t>
  </si>
  <si>
    <t>Resumo</t>
  </si>
  <si>
    <t>Horas trabalhadas</t>
  </si>
  <si>
    <t>Totais</t>
  </si>
  <si>
    <t>Acréscimo</t>
  </si>
  <si>
    <t>Total+</t>
  </si>
  <si>
    <t>Banco+</t>
  </si>
  <si>
    <t>Extra+</t>
  </si>
  <si>
    <t>Total-</t>
  </si>
  <si>
    <t>Banco-</t>
  </si>
  <si>
    <t>Extra-</t>
  </si>
  <si>
    <t>Dom</t>
  </si>
  <si>
    <t>Seg</t>
  </si>
  <si>
    <t>Ter</t>
  </si>
  <si>
    <t>Qua</t>
  </si>
  <si>
    <t>Qui</t>
  </si>
  <si>
    <t>Sex</t>
  </si>
  <si>
    <t>Sáb</t>
  </si>
  <si>
    <t>Manutenção preventiva</t>
  </si>
  <si>
    <t>Técnico mecânico nível III</t>
  </si>
  <si>
    <t>935-1</t>
  </si>
  <si>
    <t>Funcionário</t>
  </si>
  <si>
    <t>Observação</t>
  </si>
  <si>
    <t>RESUMO GERAL</t>
  </si>
  <si>
    <t>Horas normais</t>
  </si>
  <si>
    <t>Horas DSR</t>
  </si>
  <si>
    <t>Adicional noturno</t>
  </si>
  <si>
    <t>Visto</t>
  </si>
  <si>
    <t xml:space="preserve">OBSERVAÇÕES: </t>
  </si>
  <si>
    <t>.............................................................................................................................................................................................................................</t>
  </si>
  <si>
    <t>........................................................................................................................................................................................................................................................</t>
  </si>
  <si>
    <t>FECHAMENTO MENSAL</t>
  </si>
  <si>
    <t>Mês</t>
  </si>
  <si>
    <t>Saldo anterior</t>
  </si>
  <si>
    <t>Pagar/Descontar Saldo</t>
  </si>
  <si>
    <t>Saldo BH</t>
  </si>
  <si>
    <t>Nome</t>
  </si>
  <si>
    <t>BH +</t>
  </si>
  <si>
    <t>BH -</t>
  </si>
  <si>
    <t>Hora extra +</t>
  </si>
  <si>
    <t>Hora extra -</t>
  </si>
  <si>
    <t>Extra +</t>
  </si>
  <si>
    <t>Extra -</t>
  </si>
  <si>
    <t>Positivo</t>
  </si>
  <si>
    <t>Negativo</t>
  </si>
  <si>
    <t>Total a pagar</t>
  </si>
  <si>
    <t>Joaquim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</si>
</sst>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\-??_-;_-@_-"/>
    <numFmt numFmtId="165" formatCode="[h]:mm:ss;@"/>
    <numFmt numFmtId="166" formatCode="d/m/yyyy"/>
    <numFmt numFmtId="167" formatCode="ddd"/>
    <numFmt numFmtId="168" formatCode="[hh]:mm;@"/>
    <numFmt numFmtId="169" formatCode="_-&quot;R$ &quot;* #,##0.00_-;&quot;-R$ &quot;* #,##0.00_-;_-&quot;R$ &quot;* \-??_-;_-@_-"/>
  </numFmts>
  <fonts count="1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1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9"/>
      <color rgb="FF000000"/>
      <name val="Segoe UI"/>
      <family val="2"/>
      <charset val="1"/>
    </font>
    <font>
      <b/>
      <sz val="9"/>
      <color rgb="FF000000"/>
      <name val="Segoe UI"/>
      <family val="2"/>
      <charset val="1"/>
    </font>
    <font>
      <sz val="22"/>
      <color rgb="FF000000"/>
      <name val="Calibri"/>
      <family val="2"/>
      <charset val="1"/>
    </font>
    <font>
      <b/>
      <sz val="11"/>
      <color rgb="FFFF0000"/>
      <name val="Calibri"/>
      <family val="2"/>
      <charset val="1"/>
    </font>
    <font>
      <i/>
      <sz val="11"/>
      <color rgb="FF000000"/>
      <name val="Calibri"/>
      <family val="2"/>
      <charset val="1"/>
    </font>
    <font>
      <b/>
      <i/>
      <sz val="11"/>
      <color rgb="FFFF0000"/>
      <name val="Calibri"/>
      <family val="2"/>
      <charset val="1"/>
    </font>
    <font>
      <sz val="11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203864"/>
      </patternFill>
    </fill>
    <fill>
      <patternFill patternType="solid">
        <fgColor rgb="FF4472C4"/>
        <bgColor rgb="FF2E75B6"/>
      </patternFill>
    </fill>
    <fill>
      <patternFill patternType="solid">
        <fgColor rgb="FFEDEDED"/>
        <bgColor rgb="FFF2F2F2"/>
      </patternFill>
    </fill>
    <fill>
      <patternFill patternType="solid">
        <fgColor rgb="FF203864"/>
        <bgColor rgb="FF1F4E79"/>
      </patternFill>
    </fill>
  </fills>
  <borders count="3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164" fontId="11" fillId="0" borderId="0" applyBorder="0" applyProtection="0"/>
    <xf numFmtId="169" fontId="11" fillId="0" borderId="0" applyBorder="0" applyProtection="0"/>
  </cellStyleXfs>
  <cellXfs count="109">
    <xf numFmtId="0" fontId="0" fillId="0" borderId="0" xfId="0"/>
    <xf numFmtId="168" fontId="0" fillId="0" borderId="3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164" fontId="2" fillId="2" borderId="3" xfId="1" applyFont="1" applyFill="1" applyBorder="1" applyAlignment="1" applyProtection="1">
      <alignment horizontal="center"/>
    </xf>
    <xf numFmtId="0" fontId="0" fillId="0" borderId="3" xfId="0" applyFont="1" applyBorder="1" applyAlignment="1" applyProtection="1">
      <alignment horizontal="left"/>
      <protection locked="0"/>
    </xf>
    <xf numFmtId="0" fontId="1" fillId="4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center"/>
    </xf>
    <xf numFmtId="164" fontId="1" fillId="0" borderId="3" xfId="1" applyFont="1" applyBorder="1" applyAlignment="1" applyProtection="1">
      <alignment horizontal="center"/>
    </xf>
    <xf numFmtId="164" fontId="2" fillId="2" borderId="4" xfId="1" applyFont="1" applyFill="1" applyBorder="1" applyAlignment="1" applyProtection="1">
      <alignment horizontal="center"/>
    </xf>
    <xf numFmtId="0" fontId="4" fillId="3" borderId="3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left"/>
    </xf>
    <xf numFmtId="0" fontId="0" fillId="4" borderId="8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center"/>
    </xf>
    <xf numFmtId="0" fontId="0" fillId="0" borderId="2" xfId="0" applyFont="1" applyBorder="1" applyAlignment="1" applyProtection="1">
      <alignment horizontal="left"/>
      <protection locked="0"/>
    </xf>
    <xf numFmtId="0" fontId="0" fillId="0" borderId="0" xfId="0"/>
    <xf numFmtId="0" fontId="0" fillId="0" borderId="0" xfId="0"/>
    <xf numFmtId="0" fontId="1" fillId="0" borderId="1" xfId="0" applyFont="1" applyBorder="1"/>
    <xf numFmtId="20" fontId="0" fillId="0" borderId="0" xfId="0" applyNumberFormat="1"/>
    <xf numFmtId="164" fontId="2" fillId="2" borderId="3" xfId="1" applyFont="1" applyFill="1" applyBorder="1" applyAlignment="1" applyProtection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3" xfId="0" applyFont="1" applyFill="1" applyBorder="1"/>
    <xf numFmtId="164" fontId="3" fillId="0" borderId="3" xfId="1" applyFont="1" applyBorder="1" applyAlignment="1" applyProtection="1">
      <alignment horizontal="center"/>
    </xf>
    <xf numFmtId="9" fontId="0" fillId="0" borderId="3" xfId="0" applyNumberFormat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Protection="1">
      <protection locked="0"/>
    </xf>
    <xf numFmtId="20" fontId="0" fillId="0" borderId="3" xfId="0" applyNumberFormat="1" applyFont="1" applyBorder="1" applyAlignment="1" applyProtection="1">
      <alignment horizontal="center"/>
      <protection locked="0"/>
    </xf>
    <xf numFmtId="164" fontId="0" fillId="0" borderId="0" xfId="1" applyFont="1" applyBorder="1" applyAlignment="1" applyProtection="1"/>
    <xf numFmtId="0" fontId="4" fillId="3" borderId="3" xfId="0" applyFont="1" applyFill="1" applyBorder="1" applyAlignment="1">
      <alignment horizontal="left"/>
    </xf>
    <xf numFmtId="0" fontId="0" fillId="0" borderId="4" xfId="0" applyFont="1" applyBorder="1"/>
    <xf numFmtId="0" fontId="0" fillId="0" borderId="5" xfId="0" applyBorder="1"/>
    <xf numFmtId="0" fontId="0" fillId="0" borderId="6" xfId="0" applyBorder="1"/>
    <xf numFmtId="165" fontId="0" fillId="0" borderId="8" xfId="0" applyNumberFormat="1" applyBorder="1" applyProtection="1">
      <protection locked="0"/>
    </xf>
    <xf numFmtId="164" fontId="0" fillId="0" borderId="3" xfId="1" applyFont="1" applyBorder="1" applyAlignment="1" applyProtection="1">
      <protection locked="0"/>
    </xf>
    <xf numFmtId="0" fontId="2" fillId="0" borderId="0" xfId="0" applyFont="1" applyBorder="1"/>
    <xf numFmtId="165" fontId="0" fillId="0" borderId="3" xfId="0" applyNumberFormat="1" applyBorder="1" applyProtection="1">
      <protection locked="0"/>
    </xf>
    <xf numFmtId="20" fontId="0" fillId="0" borderId="0" xfId="0" applyNumberFormat="1"/>
    <xf numFmtId="20" fontId="2" fillId="0" borderId="0" xfId="0" applyNumberFormat="1" applyFont="1" applyBorder="1"/>
    <xf numFmtId="0" fontId="4" fillId="3" borderId="3" xfId="0" applyFont="1" applyFill="1" applyBorder="1" applyAlignment="1">
      <alignment horizontal="center"/>
    </xf>
    <xf numFmtId="0" fontId="4" fillId="3" borderId="3" xfId="0" applyFont="1" applyFill="1" applyBorder="1"/>
    <xf numFmtId="0" fontId="1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66" fontId="0" fillId="0" borderId="3" xfId="0" applyNumberFormat="1" applyBorder="1" applyProtection="1">
      <protection locked="0"/>
    </xf>
    <xf numFmtId="167" fontId="0" fillId="0" borderId="3" xfId="0" applyNumberFormat="1" applyBorder="1" applyAlignment="1" applyProtection="1">
      <alignment horizontal="center"/>
    </xf>
    <xf numFmtId="20" fontId="0" fillId="0" borderId="3" xfId="0" applyNumberFormat="1" applyBorder="1" applyProtection="1">
      <protection locked="0"/>
    </xf>
    <xf numFmtId="165" fontId="0" fillId="4" borderId="3" xfId="0" applyNumberFormat="1" applyFill="1" applyBorder="1"/>
    <xf numFmtId="168" fontId="0" fillId="4" borderId="3" xfId="0" applyNumberFormat="1" applyFill="1" applyBorder="1" applyAlignment="1">
      <alignment horizontal="center"/>
    </xf>
    <xf numFmtId="168" fontId="0" fillId="0" borderId="3" xfId="0" applyNumberFormat="1" applyFont="1" applyBorder="1" applyAlignment="1" applyProtection="1">
      <alignment horizontal="center"/>
      <protection locked="0"/>
    </xf>
    <xf numFmtId="20" fontId="0" fillId="4" borderId="8" xfId="0" applyNumberFormat="1" applyFill="1" applyBorder="1"/>
    <xf numFmtId="0" fontId="1" fillId="0" borderId="3" xfId="0" applyFont="1" applyBorder="1" applyAlignment="1">
      <alignment horizontal="center"/>
    </xf>
    <xf numFmtId="164" fontId="1" fillId="0" borderId="3" xfId="1" applyFont="1" applyBorder="1" applyAlignment="1" applyProtection="1">
      <alignment horizontal="center"/>
    </xf>
    <xf numFmtId="20" fontId="0" fillId="4" borderId="3" xfId="0" applyNumberFormat="1" applyFill="1" applyBorder="1"/>
    <xf numFmtId="167" fontId="0" fillId="4" borderId="3" xfId="0" applyNumberFormat="1" applyFill="1" applyBorder="1"/>
    <xf numFmtId="20" fontId="0" fillId="0" borderId="3" xfId="0" applyNumberFormat="1" applyBorder="1" applyProtection="1">
      <protection locked="0"/>
    </xf>
    <xf numFmtId="20" fontId="0" fillId="0" borderId="3" xfId="1" applyNumberFormat="1" applyFont="1" applyBorder="1" applyAlignment="1" applyProtection="1">
      <protection locked="0"/>
    </xf>
    <xf numFmtId="165" fontId="0" fillId="4" borderId="8" xfId="0" applyNumberFormat="1" applyFill="1" applyBorder="1"/>
    <xf numFmtId="0" fontId="1" fillId="4" borderId="3" xfId="0" applyFont="1" applyFill="1" applyBorder="1" applyAlignment="1">
      <alignment horizontal="left"/>
    </xf>
    <xf numFmtId="0" fontId="1" fillId="0" borderId="8" xfId="0" applyFont="1" applyBorder="1"/>
    <xf numFmtId="164" fontId="1" fillId="0" borderId="8" xfId="1" applyFont="1" applyBorder="1" applyAlignment="1" applyProtection="1">
      <alignment horizontal="center"/>
    </xf>
    <xf numFmtId="0" fontId="1" fillId="0" borderId="8" xfId="0" applyFont="1" applyBorder="1" applyAlignment="1">
      <alignment horizontal="center"/>
    </xf>
    <xf numFmtId="0" fontId="0" fillId="4" borderId="3" xfId="0" applyFont="1" applyFill="1" applyBorder="1"/>
    <xf numFmtId="165" fontId="0" fillId="4" borderId="3" xfId="1" applyNumberFormat="1" applyFont="1" applyFill="1" applyBorder="1" applyAlignment="1" applyProtection="1"/>
    <xf numFmtId="9" fontId="0" fillId="4" borderId="3" xfId="0" applyNumberFormat="1" applyFill="1" applyBorder="1"/>
    <xf numFmtId="165" fontId="0" fillId="0" borderId="0" xfId="1" applyNumberFormat="1" applyFont="1" applyBorder="1" applyAlignment="1" applyProtection="1"/>
    <xf numFmtId="166" fontId="0" fillId="0" borderId="0" xfId="0" applyNumberFormat="1" applyBorder="1" applyProtection="1">
      <protection locked="0"/>
    </xf>
    <xf numFmtId="0" fontId="0" fillId="0" borderId="0" xfId="0" applyBorder="1" applyAlignment="1" applyProtection="1">
      <alignment horizontal="left"/>
      <protection locked="0"/>
    </xf>
    <xf numFmtId="20" fontId="0" fillId="0" borderId="3" xfId="0" applyNumberFormat="1" applyBorder="1" applyProtection="1"/>
    <xf numFmtId="166" fontId="0" fillId="0" borderId="3" xfId="0" applyNumberFormat="1" applyBorder="1" applyProtection="1"/>
    <xf numFmtId="165" fontId="0" fillId="0" borderId="3" xfId="0" applyNumberFormat="1" applyBorder="1" applyProtection="1"/>
    <xf numFmtId="168" fontId="0" fillId="0" borderId="3" xfId="0" applyNumberFormat="1" applyBorder="1" applyAlignment="1">
      <alignment horizontal="center"/>
    </xf>
    <xf numFmtId="0" fontId="1" fillId="0" borderId="3" xfId="0" applyFont="1" applyBorder="1"/>
    <xf numFmtId="165" fontId="0" fillId="0" borderId="3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14" xfId="0" applyFont="1" applyBorder="1"/>
    <xf numFmtId="0" fontId="0" fillId="0" borderId="0" xfId="0" applyFont="1" applyBorder="1"/>
    <xf numFmtId="0" fontId="0" fillId="0" borderId="15" xfId="0" applyBorder="1"/>
    <xf numFmtId="0" fontId="0" fillId="0" borderId="14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8" fillId="0" borderId="0" xfId="0" applyFont="1" applyBorder="1"/>
    <xf numFmtId="0" fontId="1" fillId="0" borderId="25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4" borderId="3" xfId="0" applyNumberFormat="1" applyFill="1" applyBorder="1"/>
    <xf numFmtId="169" fontId="8" fillId="4" borderId="3" xfId="2" applyFont="1" applyFill="1" applyBorder="1" applyAlignment="1" applyProtection="1"/>
    <xf numFmtId="165" fontId="8" fillId="4" borderId="3" xfId="0" applyNumberFormat="1" applyFont="1" applyFill="1" applyBorder="1"/>
    <xf numFmtId="0" fontId="0" fillId="0" borderId="27" xfId="0" applyBorder="1"/>
    <xf numFmtId="0" fontId="0" fillId="0" borderId="28" xfId="0" applyBorder="1"/>
    <xf numFmtId="0" fontId="8" fillId="0" borderId="28" xfId="0" applyFont="1" applyBorder="1"/>
    <xf numFmtId="0" fontId="0" fillId="0" borderId="29" xfId="0" applyBorder="1"/>
    <xf numFmtId="0" fontId="8" fillId="0" borderId="0" xfId="0" applyFont="1"/>
    <xf numFmtId="165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47"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2F2F2"/>
      </font>
    </dxf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BE5D6"/>
      </font>
      <fill>
        <patternFill>
          <bgColor rgb="FFFF0000"/>
        </patternFill>
      </fill>
    </dxf>
    <dxf>
      <font>
        <color rgb="FFF2F2F2"/>
      </font>
    </dxf>
    <dxf>
      <font>
        <color rgb="FFF2F2F2"/>
      </font>
    </dxf>
    <dxf>
      <font>
        <color rgb="FFF2F2F2"/>
      </font>
    </dxf>
    <dxf>
      <font>
        <color rgb="FFFFFFFF"/>
      </font>
      <fill>
        <patternFill>
          <bgColor rgb="FF5B9BD5"/>
        </patternFill>
      </fill>
    </dxf>
    <dxf>
      <font>
        <color rgb="FFFFFFFF"/>
      </font>
    </dxf>
    <dxf>
      <font>
        <color rgb="FFDEEBF7"/>
      </font>
      <fill>
        <patternFill>
          <bgColor rgb="FF2E75B6"/>
        </patternFill>
      </fill>
    </dxf>
    <dxf>
      <font>
        <color rgb="FFE2F0D9"/>
      </font>
      <fill>
        <patternFill>
          <bgColor rgb="FF385724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F2F2F2"/>
      </font>
    </dxf>
    <dxf>
      <font>
        <color rgb="FFFFFFFF"/>
      </font>
      <fill>
        <patternFill>
          <bgColor rgb="FFFF0000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FFFFF"/>
      </font>
      <fill>
        <patternFill>
          <bgColor rgb="FF5B9BD5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E2F0D9"/>
      </font>
      <fill>
        <patternFill>
          <bgColor rgb="FF385724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F2F2F2"/>
      </font>
    </dxf>
    <dxf>
      <font>
        <color rgb="FFFFFFFF"/>
      </font>
      <fill>
        <patternFill>
          <bgColor rgb="FFFF0000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FFFFF"/>
      </font>
      <fill>
        <patternFill>
          <bgColor rgb="FF5B9BD5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E2F0D9"/>
      </font>
      <fill>
        <patternFill>
          <bgColor rgb="FF385724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F2F2F2"/>
      </font>
    </dxf>
    <dxf>
      <font>
        <color rgb="FFFFFFFF"/>
      </font>
      <fill>
        <patternFill>
          <bgColor rgb="FFFF0000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FFFFF"/>
      </font>
      <fill>
        <patternFill>
          <bgColor rgb="FF5B9BD5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E2F0D9"/>
      </font>
      <fill>
        <patternFill>
          <bgColor rgb="FF385724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F2F2F2"/>
      </font>
    </dxf>
    <dxf>
      <font>
        <color rgb="FFFFFFFF"/>
      </font>
      <fill>
        <patternFill>
          <bgColor rgb="FFFF0000"/>
        </patternFill>
      </fill>
    </dxf>
    <dxf>
      <font>
        <color rgb="FFFBE5D6"/>
      </font>
      <fill>
        <patternFill>
          <bgColor rgb="FFFF0000"/>
        </patternFill>
      </fill>
    </dxf>
    <dxf>
      <font>
        <color rgb="FFDEEBF7"/>
      </font>
      <fill>
        <patternFill>
          <bgColor rgb="FF2E75B6"/>
        </patternFill>
      </fill>
    </dxf>
    <dxf>
      <font>
        <color rgb="FFF2F2F2"/>
      </font>
    </dxf>
    <dxf>
      <font>
        <color rgb="FFFFFFFF"/>
      </font>
      <fill>
        <patternFill>
          <bgColor rgb="FF5B9BD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2F2F2"/>
      <rgbColor rgb="FFDEEBF7"/>
      <rgbColor rgb="FF660066"/>
      <rgbColor rgb="FFFF8080"/>
      <rgbColor rgb="FF2E75B6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FFF99"/>
      <rgbColor rgb="FF99CCFF"/>
      <rgbColor rgb="FFFF99CC"/>
      <rgbColor rgb="FFCC99FF"/>
      <rgbColor rgb="FFFBE5D6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203864"/>
      <rgbColor rgb="FF339966"/>
      <rgbColor rgb="FF003300"/>
      <rgbColor rgb="FF333300"/>
      <rgbColor rgb="FF993300"/>
      <rgbColor rgb="FF993366"/>
      <rgbColor rgb="FF1F4E7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olha de ponto'!A1"/><Relationship Id="rId2" Type="http://schemas.openxmlformats.org/officeDocument/2006/relationships/image" Target="../media/image1.jpeg"/><Relationship Id="rId1" Type="http://schemas.openxmlformats.org/officeDocument/2006/relationships/hyperlink" Target="#Cadastro!A1"/><Relationship Id="rId4" Type="http://schemas.openxmlformats.org/officeDocument/2006/relationships/hyperlink" Target="#Fechament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243720</xdr:colOff>
      <xdr:row>7</xdr:row>
      <xdr:rowOff>145800</xdr:rowOff>
    </xdr:from>
    <xdr:to>
      <xdr:col>2</xdr:col>
      <xdr:colOff>930240</xdr:colOff>
      <xdr:row>10</xdr:row>
      <xdr:rowOff>116640</xdr:rowOff>
    </xdr:to>
    <xdr:sp macro="" textlink="">
      <xdr:nvSpPr>
        <xdr:cNvPr id="2" name="Retângulo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3720" y="1412640"/>
          <a:ext cx="1971720" cy="5137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wrap="none" anchor="t">
          <a:spAutoFit/>
        </a:bodyPr>
        <a:lstStyle/>
        <a:p>
          <a:pPr algn="ctr">
            <a:lnSpc>
              <a:spcPct val="100000"/>
            </a:lnSpc>
          </a:pPr>
          <a:r>
            <a:rPr lang="pt-BR" sz="3000" b="0" strike="noStrike" spc="-1">
              <a:solidFill>
                <a:srgbClr val="000000"/>
              </a:solidFill>
              <a:latin typeface="Times New Roman"/>
            </a:rPr>
            <a:t>Controle de</a:t>
          </a:r>
          <a:endParaRPr lang="pt-BR" sz="3000" b="0" strike="noStrike" spc="-1">
            <a:latin typeface="Times New Roman"/>
          </a:endParaRPr>
        </a:p>
      </xdr:txBody>
    </xdr:sp>
    <xdr:clientData/>
  </xdr:twoCellAnchor>
  <xdr:twoCellAnchor>
    <xdr:from>
      <xdr:col>6</xdr:col>
      <xdr:colOff>1125360</xdr:colOff>
      <xdr:row>6</xdr:row>
      <xdr:rowOff>4320</xdr:rowOff>
    </xdr:from>
    <xdr:to>
      <xdr:col>8</xdr:col>
      <xdr:colOff>408600</xdr:colOff>
      <xdr:row>10</xdr:row>
      <xdr:rowOff>42120</xdr:rowOff>
    </xdr:to>
    <xdr:sp macro="" textlink="">
      <xdr:nvSpPr>
        <xdr:cNvPr id="3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29920" y="1090080"/>
          <a:ext cx="1580040" cy="761760"/>
        </a:xfrm>
        <a:prstGeom prst="rect">
          <a:avLst/>
        </a:prstGeom>
        <a:gradFill rotWithShape="0">
          <a:gsLst>
            <a:gs pos="0">
              <a:srgbClr val="B1CBE9"/>
            </a:gs>
            <a:gs pos="100000">
              <a:srgbClr val="A2C1E4"/>
            </a:gs>
          </a:gsLst>
          <a:lin ang="5400000"/>
        </a:gradFill>
        <a:ln>
          <a:solidFill>
            <a:srgbClr val="5B9BD5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0" strike="noStrike" spc="-1">
              <a:solidFill>
                <a:srgbClr val="000000"/>
              </a:solidFill>
              <a:latin typeface="Calibri"/>
            </a:rPr>
            <a:t>Cadastro</a:t>
          </a:r>
          <a:endParaRPr lang="pt-BR" sz="1100" b="0" strike="noStrike" spc="-1">
            <a:latin typeface="Times New Roman"/>
          </a:endParaRPr>
        </a:p>
      </xdr:txBody>
    </xdr:sp>
    <xdr:clientData/>
  </xdr:twoCellAnchor>
  <xdr:twoCellAnchor editAs="oneCell">
    <xdr:from>
      <xdr:col>0</xdr:col>
      <xdr:colOff>560160</xdr:colOff>
      <xdr:row>9</xdr:row>
      <xdr:rowOff>29160</xdr:rowOff>
    </xdr:from>
    <xdr:to>
      <xdr:col>5</xdr:col>
      <xdr:colOff>237960</xdr:colOff>
      <xdr:row>13</xdr:row>
      <xdr:rowOff>137520</xdr:rowOff>
    </xdr:to>
    <xdr:sp macro="" textlink="">
      <xdr:nvSpPr>
        <xdr:cNvPr id="4" name="Retângulo 2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60160" y="1657800"/>
          <a:ext cx="3839760" cy="8514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wrap="none" anchor="t">
          <a:spAutoFit/>
        </a:bodyPr>
        <a:lstStyle/>
        <a:p>
          <a:pPr algn="ctr">
            <a:lnSpc>
              <a:spcPct val="100000"/>
            </a:lnSpc>
          </a:pPr>
          <a:r>
            <a:rPr lang="pt-BR" sz="5400" b="0" strike="noStrike" spc="-1">
              <a:solidFill>
                <a:srgbClr val="000000"/>
              </a:solidFill>
              <a:latin typeface="Times New Roman"/>
            </a:rPr>
            <a:t>Hora extras e</a:t>
          </a:r>
          <a:endParaRPr lang="pt-BR" sz="5400" b="0" strike="noStrike" spc="-1">
            <a:latin typeface="Times New Roman"/>
          </a:endParaRPr>
        </a:p>
      </xdr:txBody>
    </xdr:sp>
    <xdr:clientData/>
  </xdr:twoCellAnchor>
  <xdr:twoCellAnchor editAs="oneCell">
    <xdr:from>
      <xdr:col>2</xdr:col>
      <xdr:colOff>1120680</xdr:colOff>
      <xdr:row>2</xdr:row>
      <xdr:rowOff>89640</xdr:rowOff>
    </xdr:from>
    <xdr:to>
      <xdr:col>6</xdr:col>
      <xdr:colOff>145080</xdr:colOff>
      <xdr:row>10</xdr:row>
      <xdr:rowOff>150480</xdr:rowOff>
    </xdr:to>
    <xdr:pic>
      <xdr:nvPicPr>
        <xdr:cNvPr id="5" name="Imagem 2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2405880" y="451440"/>
          <a:ext cx="2543760" cy="1508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990360</xdr:colOff>
      <xdr:row>1</xdr:row>
      <xdr:rowOff>179280</xdr:rowOff>
    </xdr:from>
    <xdr:to>
      <xdr:col>7</xdr:col>
      <xdr:colOff>640080</xdr:colOff>
      <xdr:row>4</xdr:row>
      <xdr:rowOff>150120</xdr:rowOff>
    </xdr:to>
    <xdr:sp macro="" textlink="">
      <xdr:nvSpPr>
        <xdr:cNvPr id="6" name="Retângulo 2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94920" y="360360"/>
          <a:ext cx="1303920" cy="5137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wrap="none" anchor="t">
          <a:spAutoFit/>
        </a:bodyPr>
        <a:lstStyle/>
        <a:p>
          <a:pPr algn="ctr">
            <a:lnSpc>
              <a:spcPct val="100000"/>
            </a:lnSpc>
          </a:pPr>
          <a:r>
            <a:rPr lang="pt-BR" sz="3000" b="0" strike="noStrike" spc="-1">
              <a:solidFill>
                <a:srgbClr val="000000"/>
              </a:solidFill>
              <a:latin typeface="Times New Roman"/>
            </a:rPr>
            <a:t>MENU</a:t>
          </a:r>
          <a:endParaRPr lang="pt-BR" sz="3000" b="0" strike="noStrike" spc="-1">
            <a:latin typeface="Times New Roman"/>
          </a:endParaRPr>
        </a:p>
      </xdr:txBody>
    </xdr:sp>
    <xdr:clientData/>
  </xdr:twoCellAnchor>
  <xdr:twoCellAnchor>
    <xdr:from>
      <xdr:col>6</xdr:col>
      <xdr:colOff>1131480</xdr:colOff>
      <xdr:row>4</xdr:row>
      <xdr:rowOff>145440</xdr:rowOff>
    </xdr:from>
    <xdr:to>
      <xdr:col>13</xdr:col>
      <xdr:colOff>369720</xdr:colOff>
      <xdr:row>4</xdr:row>
      <xdr:rowOff>156600</xdr:rowOff>
    </xdr:to>
    <xdr:sp macro="" textlink="">
      <xdr:nvSpPr>
        <xdr:cNvPr id="7" name="Conector reto 2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flipH="1" flipV="1">
          <a:off x="5936040" y="869400"/>
          <a:ext cx="4748040" cy="11160"/>
        </a:xfrm>
        <a:prstGeom prst="line">
          <a:avLst/>
        </a:prstGeom>
        <a:ln>
          <a:solidFill>
            <a:srgbClr val="C55A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oneCell">
    <xdr:from>
      <xdr:col>0</xdr:col>
      <xdr:colOff>595800</xdr:colOff>
      <xdr:row>12</xdr:row>
      <xdr:rowOff>56160</xdr:rowOff>
    </xdr:from>
    <xdr:to>
      <xdr:col>6</xdr:col>
      <xdr:colOff>202680</xdr:colOff>
      <xdr:row>16</xdr:row>
      <xdr:rowOff>174240</xdr:rowOff>
    </xdr:to>
    <xdr:sp macro="" textlink="">
      <xdr:nvSpPr>
        <xdr:cNvPr id="8" name="Retângulo 2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95800" y="2237400"/>
          <a:ext cx="4411440" cy="8514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wrap="none" anchor="t">
          <a:spAutoFit/>
        </a:bodyPr>
        <a:lstStyle/>
        <a:p>
          <a:pPr algn="ctr">
            <a:lnSpc>
              <a:spcPct val="100000"/>
            </a:lnSpc>
          </a:pPr>
          <a:r>
            <a:rPr lang="pt-BR" sz="5400" b="0" strike="noStrike" spc="-1">
              <a:solidFill>
                <a:srgbClr val="000000"/>
              </a:solidFill>
              <a:latin typeface="Times New Roman"/>
            </a:rPr>
            <a:t>Banco de horas</a:t>
          </a:r>
          <a:endParaRPr lang="pt-BR" sz="5400" b="0" strike="noStrike" spc="-1">
            <a:latin typeface="Times New Roman"/>
          </a:endParaRPr>
        </a:p>
      </xdr:txBody>
    </xdr:sp>
    <xdr:clientData/>
  </xdr:twoCellAnchor>
  <xdr:twoCellAnchor>
    <xdr:from>
      <xdr:col>8</xdr:col>
      <xdr:colOff>536040</xdr:colOff>
      <xdr:row>6</xdr:row>
      <xdr:rowOff>4320</xdr:rowOff>
    </xdr:from>
    <xdr:to>
      <xdr:col>11</xdr:col>
      <xdr:colOff>162360</xdr:colOff>
      <xdr:row>10</xdr:row>
      <xdr:rowOff>42120</xdr:rowOff>
    </xdr:to>
    <xdr:sp macro="" textlink="">
      <xdr:nvSpPr>
        <xdr:cNvPr id="9" name="Retângul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637400" y="1090080"/>
          <a:ext cx="1554120" cy="761760"/>
        </a:xfrm>
        <a:prstGeom prst="rect">
          <a:avLst/>
        </a:prstGeom>
        <a:gradFill rotWithShape="0">
          <a:gsLst>
            <a:gs pos="0">
              <a:srgbClr val="B1CBE9"/>
            </a:gs>
            <a:gs pos="100000">
              <a:srgbClr val="A2C1E4"/>
            </a:gs>
          </a:gsLst>
          <a:lin ang="5400000"/>
        </a:gradFill>
        <a:ln>
          <a:solidFill>
            <a:srgbClr val="5B9BD5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0" strike="noStrike" spc="-1">
              <a:solidFill>
                <a:srgbClr val="000000"/>
              </a:solidFill>
              <a:latin typeface="Calibri"/>
            </a:rPr>
            <a:t>Folha ponto</a:t>
          </a:r>
          <a:endParaRPr lang="pt-BR" sz="1100" b="0" strike="noStrike" spc="-1">
            <a:latin typeface="Times New Roman"/>
          </a:endParaRPr>
        </a:p>
      </xdr:txBody>
    </xdr:sp>
    <xdr:clientData/>
  </xdr:twoCellAnchor>
  <xdr:twoCellAnchor>
    <xdr:from>
      <xdr:col>11</xdr:col>
      <xdr:colOff>289800</xdr:colOff>
      <xdr:row>6</xdr:row>
      <xdr:rowOff>4320</xdr:rowOff>
    </xdr:from>
    <xdr:to>
      <xdr:col>13</xdr:col>
      <xdr:colOff>525600</xdr:colOff>
      <xdr:row>10</xdr:row>
      <xdr:rowOff>42120</xdr:rowOff>
    </xdr:to>
    <xdr:sp macro="" textlink="">
      <xdr:nvSpPr>
        <xdr:cNvPr id="10" name="Retângulo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318960" y="1090080"/>
          <a:ext cx="1521000" cy="761760"/>
        </a:xfrm>
        <a:prstGeom prst="rect">
          <a:avLst/>
        </a:prstGeom>
        <a:gradFill rotWithShape="0">
          <a:gsLst>
            <a:gs pos="0">
              <a:srgbClr val="B1CBE9"/>
            </a:gs>
            <a:gs pos="100000">
              <a:srgbClr val="A2C1E4"/>
            </a:gs>
          </a:gsLst>
          <a:lin ang="5400000"/>
        </a:gradFill>
        <a:ln>
          <a:solidFill>
            <a:srgbClr val="5B9BD5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0" strike="noStrike" spc="-1">
              <a:solidFill>
                <a:srgbClr val="000000"/>
              </a:solidFill>
              <a:latin typeface="Calibri"/>
            </a:rPr>
            <a:t>Fechamento</a:t>
          </a:r>
          <a:endParaRPr lang="pt-BR" sz="11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257760</xdr:colOff>
      <xdr:row>11</xdr:row>
      <xdr:rowOff>156960</xdr:rowOff>
    </xdr:from>
    <xdr:to>
      <xdr:col>15</xdr:col>
      <xdr:colOff>403200</xdr:colOff>
      <xdr:row>13</xdr:row>
      <xdr:rowOff>44640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572120" y="2147760"/>
          <a:ext cx="1430640" cy="268560"/>
        </a:xfrm>
        <a:prstGeom prst="rect">
          <a:avLst/>
        </a:prstGeom>
        <a:gradFill rotWithShape="0">
          <a:gsLst>
            <a:gs pos="0">
              <a:srgbClr val="B1CBE9"/>
            </a:gs>
            <a:gs pos="100000">
              <a:srgbClr val="A2C1E4"/>
            </a:gs>
          </a:gsLst>
          <a:lin ang="5400000"/>
        </a:gradFill>
        <a:ln>
          <a:solidFill>
            <a:srgbClr val="5B9BD5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0" strike="noStrike" spc="-1">
              <a:solidFill>
                <a:srgbClr val="000000"/>
              </a:solidFill>
              <a:latin typeface="Calibri"/>
            </a:rPr>
            <a:t>Ir</a:t>
          </a:r>
          <a:endParaRPr lang="pt-BR" sz="1100" b="0" strike="noStrike" spc="-1">
            <a:latin typeface="Times New Roman"/>
          </a:endParaRPr>
        </a:p>
      </xdr:txBody>
    </xdr:sp>
    <xdr:clientData/>
  </xdr:twoCellAnchor>
  <xdr:twoCellAnchor editAs="oneCell">
    <xdr:from>
      <xdr:col>5</xdr:col>
      <xdr:colOff>113040</xdr:colOff>
      <xdr:row>15</xdr:row>
      <xdr:rowOff>134640</xdr:rowOff>
    </xdr:from>
    <xdr:to>
      <xdr:col>6</xdr:col>
      <xdr:colOff>458280</xdr:colOff>
      <xdr:row>17</xdr:row>
      <xdr:rowOff>75600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275000" y="2868480"/>
          <a:ext cx="987840" cy="30276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wrap="none" anchor="t">
          <a:spAutoFit/>
        </a:bodyPr>
        <a:lstStyle/>
        <a:p>
          <a:pPr algn="ctr">
            <a:lnSpc>
              <a:spcPct val="100000"/>
            </a:lnSpc>
          </a:pPr>
          <a:r>
            <a:rPr lang="pt-BR" sz="1500" b="0" strike="noStrike" spc="-1">
              <a:solidFill>
                <a:srgbClr val="000000"/>
              </a:solidFill>
              <a:latin typeface="Times New Roman"/>
            </a:rPr>
            <a:t>Versão 3.0</a:t>
          </a:r>
          <a:endParaRPr lang="pt-BR" sz="15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3:AMJ19"/>
  <sheetViews>
    <sheetView showGridLines="0" zoomScale="85" zoomScaleNormal="85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I13" sqref="I13"/>
    </sheetView>
  </sheetViews>
  <sheetFormatPr defaultColWidth="9.109375" defaultRowHeight="14.4" x14ac:dyDescent="0.3"/>
  <cols>
    <col min="1" max="2" width="9.109375" style="15"/>
    <col min="3" max="3" width="22.5546875" style="15" customWidth="1"/>
    <col min="4" max="6" width="9.109375" style="15"/>
    <col min="7" max="7" width="23.44140625" style="16" customWidth="1"/>
    <col min="8" max="1024" width="9.109375" style="15"/>
  </cols>
  <sheetData>
    <row r="13" spans="8:13" x14ac:dyDescent="0.3">
      <c r="H13" s="17" t="s">
        <v>0</v>
      </c>
      <c r="I13" s="14" t="s">
        <v>1</v>
      </c>
      <c r="J13" s="14"/>
      <c r="K13" s="14"/>
      <c r="L13" s="14"/>
      <c r="M13" s="14"/>
    </row>
    <row r="19" spans="6:6" x14ac:dyDescent="0.3">
      <c r="F19" s="18"/>
    </row>
  </sheetData>
  <sheetProtection sheet="1" objects="1" scenarios="1"/>
  <mergeCells count="1">
    <mergeCell ref="I13:M13"/>
  </mergeCells>
  <dataValidations count="1">
    <dataValidation type="list" allowBlank="1" showInputMessage="1" showErrorMessage="1" sqref="I13:M13" xr:uid="{00000000-0002-0000-0000-000000000000}">
      <formula1>Funcionarios</formula1>
      <formula2>0</formula2>
    </dataValidation>
  </dataValidations>
  <pageMargins left="0.51180555555555596" right="0.51180555555555596" top="0.78749999999999998" bottom="0.78749999999999998" header="0.511811023622047" footer="0.511811023622047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47"/>
  <sheetViews>
    <sheetView showGridLines="0" zoomScaleNormal="100" workbookViewId="0">
      <selection activeCell="B22" sqref="B22"/>
    </sheetView>
  </sheetViews>
  <sheetFormatPr defaultColWidth="8.5546875" defaultRowHeight="14.4" x14ac:dyDescent="0.3"/>
  <cols>
    <col min="1" max="1" width="15.33203125" customWidth="1"/>
    <col min="2" max="2" width="17" customWidth="1"/>
    <col min="3" max="3" width="10.44140625" customWidth="1"/>
    <col min="4" max="4" width="15.6640625" customWidth="1"/>
  </cols>
  <sheetData>
    <row r="1" spans="1:4" x14ac:dyDescent="0.3">
      <c r="A1" s="19" t="s">
        <v>2</v>
      </c>
      <c r="B1" s="20" t="s">
        <v>3</v>
      </c>
      <c r="D1" s="21" t="s">
        <v>4</v>
      </c>
    </row>
    <row r="2" spans="1:4" x14ac:dyDescent="0.3">
      <c r="A2" s="22" t="s">
        <v>5</v>
      </c>
      <c r="B2" s="23">
        <v>0.25</v>
      </c>
      <c r="D2" s="24" t="s">
        <v>6</v>
      </c>
    </row>
    <row r="3" spans="1:4" x14ac:dyDescent="0.3">
      <c r="A3" s="22" t="s">
        <v>7</v>
      </c>
      <c r="B3" s="23">
        <v>0.4</v>
      </c>
      <c r="D3" s="24" t="s">
        <v>8</v>
      </c>
    </row>
    <row r="4" spans="1:4" x14ac:dyDescent="0.3">
      <c r="A4" s="22" t="s">
        <v>9</v>
      </c>
      <c r="B4" s="23">
        <v>1</v>
      </c>
      <c r="D4" s="24" t="s">
        <v>10</v>
      </c>
    </row>
    <row r="5" spans="1:4" x14ac:dyDescent="0.3">
      <c r="A5" s="22" t="s">
        <v>11</v>
      </c>
      <c r="B5" s="23">
        <v>0.5</v>
      </c>
      <c r="D5" s="24" t="s">
        <v>1</v>
      </c>
    </row>
    <row r="6" spans="1:4" x14ac:dyDescent="0.3">
      <c r="A6" s="22" t="s">
        <v>12</v>
      </c>
      <c r="B6" s="23">
        <v>0.5</v>
      </c>
      <c r="D6" s="25"/>
    </row>
    <row r="7" spans="1:4" x14ac:dyDescent="0.3">
      <c r="A7" s="22" t="s">
        <v>13</v>
      </c>
      <c r="B7" s="23">
        <v>1</v>
      </c>
      <c r="D7" s="25"/>
    </row>
    <row r="8" spans="1:4" x14ac:dyDescent="0.3">
      <c r="A8" s="22" t="s">
        <v>14</v>
      </c>
      <c r="B8" s="23">
        <v>0.3</v>
      </c>
      <c r="D8" s="25"/>
    </row>
    <row r="9" spans="1:4" x14ac:dyDescent="0.3">
      <c r="A9" s="22" t="s">
        <v>15</v>
      </c>
      <c r="B9" s="23">
        <v>0.3</v>
      </c>
      <c r="D9" s="25"/>
    </row>
    <row r="10" spans="1:4" x14ac:dyDescent="0.3">
      <c r="A10" s="22" t="s">
        <v>16</v>
      </c>
      <c r="B10" s="26">
        <v>1.0416666666666701E-2</v>
      </c>
      <c r="D10" s="25"/>
    </row>
    <row r="11" spans="1:4" x14ac:dyDescent="0.3">
      <c r="D11" s="25"/>
    </row>
    <row r="12" spans="1:4" x14ac:dyDescent="0.3">
      <c r="D12" s="25"/>
    </row>
    <row r="13" spans="1:4" x14ac:dyDescent="0.3">
      <c r="D13" s="25"/>
    </row>
    <row r="14" spans="1:4" x14ac:dyDescent="0.3">
      <c r="D14" s="25"/>
    </row>
    <row r="15" spans="1:4" x14ac:dyDescent="0.3">
      <c r="D15" s="25"/>
    </row>
    <row r="16" spans="1:4" x14ac:dyDescent="0.3">
      <c r="D16" s="25"/>
    </row>
    <row r="17" spans="4:4" x14ac:dyDescent="0.3">
      <c r="D17" s="25"/>
    </row>
    <row r="18" spans="4:4" x14ac:dyDescent="0.3">
      <c r="D18" s="25"/>
    </row>
    <row r="19" spans="4:4" x14ac:dyDescent="0.3">
      <c r="D19" s="25"/>
    </row>
    <row r="20" spans="4:4" x14ac:dyDescent="0.3">
      <c r="D20" s="25"/>
    </row>
    <row r="21" spans="4:4" x14ac:dyDescent="0.3">
      <c r="D21" s="25"/>
    </row>
    <row r="22" spans="4:4" x14ac:dyDescent="0.3">
      <c r="D22" s="25"/>
    </row>
    <row r="23" spans="4:4" x14ac:dyDescent="0.3">
      <c r="D23" s="25"/>
    </row>
    <row r="24" spans="4:4" x14ac:dyDescent="0.3">
      <c r="D24" s="25"/>
    </row>
    <row r="25" spans="4:4" x14ac:dyDescent="0.3">
      <c r="D25" s="25"/>
    </row>
    <row r="26" spans="4:4" x14ac:dyDescent="0.3">
      <c r="D26" s="25"/>
    </row>
    <row r="27" spans="4:4" x14ac:dyDescent="0.3">
      <c r="D27" s="25"/>
    </row>
    <row r="28" spans="4:4" x14ac:dyDescent="0.3">
      <c r="D28" s="25"/>
    </row>
    <row r="29" spans="4:4" x14ac:dyDescent="0.3">
      <c r="D29" s="25"/>
    </row>
    <row r="30" spans="4:4" x14ac:dyDescent="0.3">
      <c r="D30" s="25"/>
    </row>
    <row r="31" spans="4:4" x14ac:dyDescent="0.3">
      <c r="D31" s="25"/>
    </row>
    <row r="32" spans="4:4" x14ac:dyDescent="0.3">
      <c r="D32" s="25"/>
    </row>
    <row r="33" spans="4:4" x14ac:dyDescent="0.3">
      <c r="D33" s="25"/>
    </row>
    <row r="34" spans="4:4" x14ac:dyDescent="0.3">
      <c r="D34" s="25"/>
    </row>
    <row r="35" spans="4:4" x14ac:dyDescent="0.3">
      <c r="D35" s="25"/>
    </row>
    <row r="36" spans="4:4" x14ac:dyDescent="0.3">
      <c r="D36" s="25"/>
    </row>
    <row r="37" spans="4:4" x14ac:dyDescent="0.3">
      <c r="D37" s="25"/>
    </row>
    <row r="38" spans="4:4" x14ac:dyDescent="0.3">
      <c r="D38" s="25"/>
    </row>
    <row r="39" spans="4:4" x14ac:dyDescent="0.3">
      <c r="D39" s="25"/>
    </row>
    <row r="40" spans="4:4" x14ac:dyDescent="0.3">
      <c r="D40" s="25"/>
    </row>
    <row r="41" spans="4:4" x14ac:dyDescent="0.3">
      <c r="D41" s="25"/>
    </row>
    <row r="42" spans="4:4" x14ac:dyDescent="0.3">
      <c r="D42" s="25"/>
    </row>
    <row r="43" spans="4:4" x14ac:dyDescent="0.3">
      <c r="D43" s="25"/>
    </row>
    <row r="44" spans="4:4" x14ac:dyDescent="0.3">
      <c r="D44" s="25"/>
    </row>
    <row r="45" spans="4:4" x14ac:dyDescent="0.3">
      <c r="D45" s="25"/>
    </row>
    <row r="46" spans="4:4" x14ac:dyDescent="0.3">
      <c r="D46" s="25"/>
    </row>
    <row r="47" spans="4:4" x14ac:dyDescent="0.3">
      <c r="D47" s="25"/>
    </row>
    <row r="48" spans="4:4" x14ac:dyDescent="0.3">
      <c r="D48" s="25"/>
    </row>
    <row r="49" spans="4:4" x14ac:dyDescent="0.3">
      <c r="D49" s="25"/>
    </row>
    <row r="50" spans="4:4" x14ac:dyDescent="0.3">
      <c r="D50" s="25"/>
    </row>
    <row r="51" spans="4:4" x14ac:dyDescent="0.3">
      <c r="D51" s="25"/>
    </row>
    <row r="52" spans="4:4" x14ac:dyDescent="0.3">
      <c r="D52" s="25"/>
    </row>
    <row r="53" spans="4:4" x14ac:dyDescent="0.3">
      <c r="D53" s="25"/>
    </row>
    <row r="54" spans="4:4" x14ac:dyDescent="0.3">
      <c r="D54" s="25"/>
    </row>
    <row r="55" spans="4:4" x14ac:dyDescent="0.3">
      <c r="D55" s="25"/>
    </row>
    <row r="56" spans="4:4" x14ac:dyDescent="0.3">
      <c r="D56" s="25"/>
    </row>
    <row r="57" spans="4:4" x14ac:dyDescent="0.3">
      <c r="D57" s="25"/>
    </row>
    <row r="58" spans="4:4" x14ac:dyDescent="0.3">
      <c r="D58" s="25"/>
    </row>
    <row r="59" spans="4:4" x14ac:dyDescent="0.3">
      <c r="D59" s="25"/>
    </row>
    <row r="60" spans="4:4" x14ac:dyDescent="0.3">
      <c r="D60" s="25"/>
    </row>
    <row r="61" spans="4:4" x14ac:dyDescent="0.3">
      <c r="D61" s="25"/>
    </row>
    <row r="62" spans="4:4" x14ac:dyDescent="0.3">
      <c r="D62" s="25"/>
    </row>
    <row r="63" spans="4:4" x14ac:dyDescent="0.3">
      <c r="D63" s="25"/>
    </row>
    <row r="64" spans="4:4" x14ac:dyDescent="0.3">
      <c r="D64" s="25"/>
    </row>
    <row r="65" spans="4:4" x14ac:dyDescent="0.3">
      <c r="D65" s="25"/>
    </row>
    <row r="66" spans="4:4" x14ac:dyDescent="0.3">
      <c r="D66" s="25"/>
    </row>
    <row r="67" spans="4:4" x14ac:dyDescent="0.3">
      <c r="D67" s="25"/>
    </row>
    <row r="68" spans="4:4" x14ac:dyDescent="0.3">
      <c r="D68" s="25"/>
    </row>
    <row r="69" spans="4:4" x14ac:dyDescent="0.3">
      <c r="D69" s="25"/>
    </row>
    <row r="70" spans="4:4" x14ac:dyDescent="0.3">
      <c r="D70" s="25"/>
    </row>
    <row r="71" spans="4:4" x14ac:dyDescent="0.3">
      <c r="D71" s="25"/>
    </row>
    <row r="72" spans="4:4" x14ac:dyDescent="0.3">
      <c r="D72" s="25"/>
    </row>
    <row r="73" spans="4:4" x14ac:dyDescent="0.3">
      <c r="D73" s="25"/>
    </row>
    <row r="74" spans="4:4" x14ac:dyDescent="0.3">
      <c r="D74" s="25"/>
    </row>
    <row r="75" spans="4:4" x14ac:dyDescent="0.3">
      <c r="D75" s="25"/>
    </row>
    <row r="76" spans="4:4" x14ac:dyDescent="0.3">
      <c r="D76" s="25"/>
    </row>
    <row r="77" spans="4:4" x14ac:dyDescent="0.3">
      <c r="D77" s="25"/>
    </row>
    <row r="78" spans="4:4" x14ac:dyDescent="0.3">
      <c r="D78" s="25"/>
    </row>
    <row r="79" spans="4:4" x14ac:dyDescent="0.3">
      <c r="D79" s="25"/>
    </row>
    <row r="80" spans="4:4" x14ac:dyDescent="0.3">
      <c r="D80" s="25"/>
    </row>
    <row r="81" spans="4:4" x14ac:dyDescent="0.3">
      <c r="D81" s="25"/>
    </row>
    <row r="82" spans="4:4" x14ac:dyDescent="0.3">
      <c r="D82" s="25"/>
    </row>
    <row r="83" spans="4:4" x14ac:dyDescent="0.3">
      <c r="D83" s="25"/>
    </row>
    <row r="84" spans="4:4" x14ac:dyDescent="0.3">
      <c r="D84" s="25"/>
    </row>
    <row r="85" spans="4:4" x14ac:dyDescent="0.3">
      <c r="D85" s="25"/>
    </row>
    <row r="86" spans="4:4" x14ac:dyDescent="0.3">
      <c r="D86" s="25"/>
    </row>
    <row r="87" spans="4:4" x14ac:dyDescent="0.3">
      <c r="D87" s="25"/>
    </row>
    <row r="88" spans="4:4" x14ac:dyDescent="0.3">
      <c r="D88" s="25"/>
    </row>
    <row r="89" spans="4:4" x14ac:dyDescent="0.3">
      <c r="D89" s="25"/>
    </row>
    <row r="90" spans="4:4" x14ac:dyDescent="0.3">
      <c r="D90" s="25"/>
    </row>
    <row r="91" spans="4:4" x14ac:dyDescent="0.3">
      <c r="D91" s="25"/>
    </row>
    <row r="92" spans="4:4" x14ac:dyDescent="0.3">
      <c r="D92" s="25"/>
    </row>
    <row r="93" spans="4:4" x14ac:dyDescent="0.3">
      <c r="D93" s="25"/>
    </row>
    <row r="94" spans="4:4" x14ac:dyDescent="0.3">
      <c r="D94" s="25"/>
    </row>
    <row r="95" spans="4:4" x14ac:dyDescent="0.3">
      <c r="D95" s="25"/>
    </row>
    <row r="96" spans="4:4" x14ac:dyDescent="0.3">
      <c r="D96" s="25"/>
    </row>
    <row r="97" spans="4:4" x14ac:dyDescent="0.3">
      <c r="D97" s="25"/>
    </row>
    <row r="98" spans="4:4" x14ac:dyDescent="0.3">
      <c r="D98" s="25"/>
    </row>
    <row r="99" spans="4:4" x14ac:dyDescent="0.3">
      <c r="D99" s="25"/>
    </row>
    <row r="100" spans="4:4" x14ac:dyDescent="0.3">
      <c r="D100" s="25"/>
    </row>
    <row r="101" spans="4:4" x14ac:dyDescent="0.3">
      <c r="D101" s="25"/>
    </row>
    <row r="102" spans="4:4" x14ac:dyDescent="0.3">
      <c r="D102" s="25"/>
    </row>
    <row r="103" spans="4:4" x14ac:dyDescent="0.3">
      <c r="D103" s="25"/>
    </row>
    <row r="104" spans="4:4" x14ac:dyDescent="0.3">
      <c r="D104" s="25"/>
    </row>
    <row r="105" spans="4:4" x14ac:dyDescent="0.3">
      <c r="D105" s="25"/>
    </row>
    <row r="106" spans="4:4" x14ac:dyDescent="0.3">
      <c r="D106" s="25"/>
    </row>
    <row r="107" spans="4:4" x14ac:dyDescent="0.3">
      <c r="D107" s="25"/>
    </row>
    <row r="108" spans="4:4" x14ac:dyDescent="0.3">
      <c r="D108" s="25"/>
    </row>
    <row r="109" spans="4:4" x14ac:dyDescent="0.3">
      <c r="D109" s="25"/>
    </row>
    <row r="110" spans="4:4" x14ac:dyDescent="0.3">
      <c r="D110" s="25"/>
    </row>
    <row r="111" spans="4:4" x14ac:dyDescent="0.3">
      <c r="D111" s="25"/>
    </row>
    <row r="112" spans="4:4" x14ac:dyDescent="0.3">
      <c r="D112" s="25"/>
    </row>
    <row r="113" spans="4:4" x14ac:dyDescent="0.3">
      <c r="D113" s="25"/>
    </row>
    <row r="114" spans="4:4" x14ac:dyDescent="0.3">
      <c r="D114" s="25"/>
    </row>
    <row r="115" spans="4:4" x14ac:dyDescent="0.3">
      <c r="D115" s="25"/>
    </row>
    <row r="116" spans="4:4" x14ac:dyDescent="0.3">
      <c r="D116" s="25"/>
    </row>
    <row r="117" spans="4:4" x14ac:dyDescent="0.3">
      <c r="D117" s="25"/>
    </row>
    <row r="118" spans="4:4" x14ac:dyDescent="0.3">
      <c r="D118" s="25"/>
    </row>
    <row r="119" spans="4:4" x14ac:dyDescent="0.3">
      <c r="D119" s="25"/>
    </row>
    <row r="120" spans="4:4" x14ac:dyDescent="0.3">
      <c r="D120" s="25"/>
    </row>
    <row r="121" spans="4:4" x14ac:dyDescent="0.3">
      <c r="D121" s="25"/>
    </row>
    <row r="122" spans="4:4" x14ac:dyDescent="0.3">
      <c r="D122" s="25"/>
    </row>
    <row r="123" spans="4:4" x14ac:dyDescent="0.3">
      <c r="D123" s="25"/>
    </row>
    <row r="124" spans="4:4" x14ac:dyDescent="0.3">
      <c r="D124" s="25"/>
    </row>
    <row r="125" spans="4:4" x14ac:dyDescent="0.3">
      <c r="D125" s="25"/>
    </row>
    <row r="126" spans="4:4" x14ac:dyDescent="0.3">
      <c r="D126" s="25"/>
    </row>
    <row r="127" spans="4:4" x14ac:dyDescent="0.3">
      <c r="D127" s="25"/>
    </row>
    <row r="128" spans="4:4" x14ac:dyDescent="0.3">
      <c r="D128" s="25"/>
    </row>
    <row r="129" spans="4:4" x14ac:dyDescent="0.3">
      <c r="D129" s="25"/>
    </row>
    <row r="130" spans="4:4" x14ac:dyDescent="0.3">
      <c r="D130" s="25"/>
    </row>
    <row r="131" spans="4:4" x14ac:dyDescent="0.3">
      <c r="D131" s="25"/>
    </row>
    <row r="132" spans="4:4" x14ac:dyDescent="0.3">
      <c r="D132" s="25"/>
    </row>
    <row r="133" spans="4:4" x14ac:dyDescent="0.3">
      <c r="D133" s="25"/>
    </row>
    <row r="134" spans="4:4" x14ac:dyDescent="0.3">
      <c r="D134" s="25"/>
    </row>
    <row r="135" spans="4:4" x14ac:dyDescent="0.3">
      <c r="D135" s="25"/>
    </row>
    <row r="136" spans="4:4" x14ac:dyDescent="0.3">
      <c r="D136" s="25"/>
    </row>
    <row r="137" spans="4:4" x14ac:dyDescent="0.3">
      <c r="D137" s="25"/>
    </row>
    <row r="138" spans="4:4" x14ac:dyDescent="0.3">
      <c r="D138" s="25"/>
    </row>
    <row r="139" spans="4:4" x14ac:dyDescent="0.3">
      <c r="D139" s="25"/>
    </row>
    <row r="140" spans="4:4" x14ac:dyDescent="0.3">
      <c r="D140" s="25"/>
    </row>
    <row r="141" spans="4:4" x14ac:dyDescent="0.3">
      <c r="D141" s="25"/>
    </row>
    <row r="142" spans="4:4" x14ac:dyDescent="0.3">
      <c r="D142" s="25"/>
    </row>
    <row r="143" spans="4:4" x14ac:dyDescent="0.3">
      <c r="D143" s="25"/>
    </row>
    <row r="144" spans="4:4" x14ac:dyDescent="0.3">
      <c r="D144" s="25"/>
    </row>
    <row r="145" spans="4:4" x14ac:dyDescent="0.3">
      <c r="D145" s="25"/>
    </row>
    <row r="146" spans="4:4" x14ac:dyDescent="0.3">
      <c r="D146" s="25"/>
    </row>
    <row r="147" spans="4:4" x14ac:dyDescent="0.3">
      <c r="D147" s="25"/>
    </row>
    <row r="148" spans="4:4" x14ac:dyDescent="0.3">
      <c r="D148" s="25"/>
    </row>
    <row r="149" spans="4:4" x14ac:dyDescent="0.3">
      <c r="D149" s="25"/>
    </row>
    <row r="150" spans="4:4" x14ac:dyDescent="0.3">
      <c r="D150" s="25"/>
    </row>
    <row r="151" spans="4:4" x14ac:dyDescent="0.3">
      <c r="D151" s="25"/>
    </row>
    <row r="152" spans="4:4" x14ac:dyDescent="0.3">
      <c r="D152" s="25"/>
    </row>
    <row r="153" spans="4:4" x14ac:dyDescent="0.3">
      <c r="D153" s="25"/>
    </row>
    <row r="154" spans="4:4" x14ac:dyDescent="0.3">
      <c r="D154" s="25"/>
    </row>
    <row r="155" spans="4:4" x14ac:dyDescent="0.3">
      <c r="D155" s="25"/>
    </row>
    <row r="156" spans="4:4" x14ac:dyDescent="0.3">
      <c r="D156" s="25"/>
    </row>
    <row r="157" spans="4:4" x14ac:dyDescent="0.3">
      <c r="D157" s="25"/>
    </row>
    <row r="158" spans="4:4" x14ac:dyDescent="0.3">
      <c r="D158" s="25"/>
    </row>
    <row r="159" spans="4:4" x14ac:dyDescent="0.3">
      <c r="D159" s="25"/>
    </row>
    <row r="160" spans="4:4" x14ac:dyDescent="0.3">
      <c r="D160" s="25"/>
    </row>
    <row r="161" spans="4:4" x14ac:dyDescent="0.3">
      <c r="D161" s="25"/>
    </row>
    <row r="162" spans="4:4" x14ac:dyDescent="0.3">
      <c r="D162" s="25"/>
    </row>
    <row r="163" spans="4:4" x14ac:dyDescent="0.3">
      <c r="D163" s="25"/>
    </row>
    <row r="164" spans="4:4" x14ac:dyDescent="0.3">
      <c r="D164" s="25"/>
    </row>
    <row r="165" spans="4:4" x14ac:dyDescent="0.3">
      <c r="D165" s="25"/>
    </row>
    <row r="166" spans="4:4" x14ac:dyDescent="0.3">
      <c r="D166" s="25"/>
    </row>
    <row r="167" spans="4:4" x14ac:dyDescent="0.3">
      <c r="D167" s="25"/>
    </row>
    <row r="168" spans="4:4" x14ac:dyDescent="0.3">
      <c r="D168" s="25"/>
    </row>
    <row r="169" spans="4:4" x14ac:dyDescent="0.3">
      <c r="D169" s="25"/>
    </row>
    <row r="170" spans="4:4" x14ac:dyDescent="0.3">
      <c r="D170" s="25"/>
    </row>
    <row r="171" spans="4:4" x14ac:dyDescent="0.3">
      <c r="D171" s="25"/>
    </row>
    <row r="172" spans="4:4" x14ac:dyDescent="0.3">
      <c r="D172" s="25"/>
    </row>
    <row r="173" spans="4:4" x14ac:dyDescent="0.3">
      <c r="D173" s="25"/>
    </row>
    <row r="174" spans="4:4" x14ac:dyDescent="0.3">
      <c r="D174" s="25"/>
    </row>
    <row r="175" spans="4:4" x14ac:dyDescent="0.3">
      <c r="D175" s="25"/>
    </row>
    <row r="176" spans="4:4" x14ac:dyDescent="0.3">
      <c r="D176" s="25"/>
    </row>
    <row r="177" spans="4:4" x14ac:dyDescent="0.3">
      <c r="D177" s="25"/>
    </row>
    <row r="178" spans="4:4" x14ac:dyDescent="0.3">
      <c r="D178" s="25"/>
    </row>
    <row r="179" spans="4:4" x14ac:dyDescent="0.3">
      <c r="D179" s="25"/>
    </row>
    <row r="180" spans="4:4" x14ac:dyDescent="0.3">
      <c r="D180" s="25"/>
    </row>
    <row r="181" spans="4:4" x14ac:dyDescent="0.3">
      <c r="D181" s="25"/>
    </row>
    <row r="182" spans="4:4" x14ac:dyDescent="0.3">
      <c r="D182" s="25"/>
    </row>
    <row r="183" spans="4:4" x14ac:dyDescent="0.3">
      <c r="D183" s="25"/>
    </row>
    <row r="184" spans="4:4" x14ac:dyDescent="0.3">
      <c r="D184" s="25"/>
    </row>
    <row r="185" spans="4:4" x14ac:dyDescent="0.3">
      <c r="D185" s="25"/>
    </row>
    <row r="186" spans="4:4" x14ac:dyDescent="0.3">
      <c r="D186" s="25"/>
    </row>
    <row r="187" spans="4:4" x14ac:dyDescent="0.3">
      <c r="D187" s="25"/>
    </row>
    <row r="188" spans="4:4" x14ac:dyDescent="0.3">
      <c r="D188" s="25"/>
    </row>
    <row r="189" spans="4:4" x14ac:dyDescent="0.3">
      <c r="D189" s="25"/>
    </row>
    <row r="190" spans="4:4" x14ac:dyDescent="0.3">
      <c r="D190" s="25"/>
    </row>
    <row r="191" spans="4:4" x14ac:dyDescent="0.3">
      <c r="D191" s="25"/>
    </row>
    <row r="192" spans="4:4" x14ac:dyDescent="0.3">
      <c r="D192" s="25"/>
    </row>
    <row r="193" spans="4:4" x14ac:dyDescent="0.3">
      <c r="D193" s="25"/>
    </row>
    <row r="194" spans="4:4" x14ac:dyDescent="0.3">
      <c r="D194" s="25"/>
    </row>
    <row r="195" spans="4:4" x14ac:dyDescent="0.3">
      <c r="D195" s="25"/>
    </row>
    <row r="196" spans="4:4" x14ac:dyDescent="0.3">
      <c r="D196" s="25"/>
    </row>
    <row r="197" spans="4:4" x14ac:dyDescent="0.3">
      <c r="D197" s="25"/>
    </row>
    <row r="198" spans="4:4" x14ac:dyDescent="0.3">
      <c r="D198" s="25"/>
    </row>
    <row r="199" spans="4:4" x14ac:dyDescent="0.3">
      <c r="D199" s="25"/>
    </row>
    <row r="200" spans="4:4" x14ac:dyDescent="0.3">
      <c r="D200" s="25"/>
    </row>
    <row r="201" spans="4:4" x14ac:dyDescent="0.3">
      <c r="D201" s="25"/>
    </row>
    <row r="202" spans="4:4" x14ac:dyDescent="0.3">
      <c r="D202" s="25"/>
    </row>
    <row r="203" spans="4:4" x14ac:dyDescent="0.3">
      <c r="D203" s="25"/>
    </row>
    <row r="204" spans="4:4" x14ac:dyDescent="0.3">
      <c r="D204" s="25"/>
    </row>
    <row r="205" spans="4:4" x14ac:dyDescent="0.3">
      <c r="D205" s="25"/>
    </row>
    <row r="206" spans="4:4" x14ac:dyDescent="0.3">
      <c r="D206" s="25"/>
    </row>
    <row r="207" spans="4:4" x14ac:dyDescent="0.3">
      <c r="D207" s="25"/>
    </row>
    <row r="208" spans="4:4" x14ac:dyDescent="0.3">
      <c r="D208" s="25"/>
    </row>
    <row r="209" spans="4:4" x14ac:dyDescent="0.3">
      <c r="D209" s="25"/>
    </row>
    <row r="210" spans="4:4" x14ac:dyDescent="0.3">
      <c r="D210" s="25"/>
    </row>
    <row r="211" spans="4:4" x14ac:dyDescent="0.3">
      <c r="D211" s="25"/>
    </row>
    <row r="212" spans="4:4" x14ac:dyDescent="0.3">
      <c r="D212" s="25"/>
    </row>
    <row r="213" spans="4:4" x14ac:dyDescent="0.3">
      <c r="D213" s="25"/>
    </row>
    <row r="214" spans="4:4" x14ac:dyDescent="0.3">
      <c r="D214" s="25"/>
    </row>
    <row r="215" spans="4:4" x14ac:dyDescent="0.3">
      <c r="D215" s="25"/>
    </row>
    <row r="216" spans="4:4" x14ac:dyDescent="0.3">
      <c r="D216" s="25"/>
    </row>
    <row r="217" spans="4:4" x14ac:dyDescent="0.3">
      <c r="D217" s="25"/>
    </row>
    <row r="218" spans="4:4" x14ac:dyDescent="0.3">
      <c r="D218" s="25"/>
    </row>
    <row r="219" spans="4:4" x14ac:dyDescent="0.3">
      <c r="D219" s="25"/>
    </row>
    <row r="220" spans="4:4" x14ac:dyDescent="0.3">
      <c r="D220" s="25"/>
    </row>
    <row r="221" spans="4:4" x14ac:dyDescent="0.3">
      <c r="D221" s="25"/>
    </row>
    <row r="222" spans="4:4" x14ac:dyDescent="0.3">
      <c r="D222" s="25"/>
    </row>
    <row r="223" spans="4:4" x14ac:dyDescent="0.3">
      <c r="D223" s="25"/>
    </row>
    <row r="224" spans="4:4" x14ac:dyDescent="0.3">
      <c r="D224" s="25"/>
    </row>
    <row r="225" spans="4:4" x14ac:dyDescent="0.3">
      <c r="D225" s="25"/>
    </row>
    <row r="226" spans="4:4" x14ac:dyDescent="0.3">
      <c r="D226" s="25"/>
    </row>
    <row r="227" spans="4:4" x14ac:dyDescent="0.3">
      <c r="D227" s="25"/>
    </row>
    <row r="228" spans="4:4" x14ac:dyDescent="0.3">
      <c r="D228" s="25"/>
    </row>
    <row r="229" spans="4:4" x14ac:dyDescent="0.3">
      <c r="D229" s="25"/>
    </row>
    <row r="230" spans="4:4" x14ac:dyDescent="0.3">
      <c r="D230" s="25"/>
    </row>
    <row r="231" spans="4:4" x14ac:dyDescent="0.3">
      <c r="D231" s="25"/>
    </row>
    <row r="232" spans="4:4" x14ac:dyDescent="0.3">
      <c r="D232" s="25"/>
    </row>
    <row r="233" spans="4:4" x14ac:dyDescent="0.3">
      <c r="D233" s="25"/>
    </row>
    <row r="234" spans="4:4" x14ac:dyDescent="0.3">
      <c r="D234" s="25"/>
    </row>
    <row r="235" spans="4:4" x14ac:dyDescent="0.3">
      <c r="D235" s="25"/>
    </row>
    <row r="236" spans="4:4" x14ac:dyDescent="0.3">
      <c r="D236" s="25"/>
    </row>
    <row r="237" spans="4:4" x14ac:dyDescent="0.3">
      <c r="D237" s="25"/>
    </row>
    <row r="238" spans="4:4" x14ac:dyDescent="0.3">
      <c r="D238" s="25"/>
    </row>
    <row r="239" spans="4:4" x14ac:dyDescent="0.3">
      <c r="D239" s="25"/>
    </row>
    <row r="240" spans="4:4" x14ac:dyDescent="0.3">
      <c r="D240" s="25"/>
    </row>
    <row r="241" spans="4:4" x14ac:dyDescent="0.3">
      <c r="D241" s="25"/>
    </row>
    <row r="242" spans="4:4" x14ac:dyDescent="0.3">
      <c r="D242" s="25"/>
    </row>
    <row r="243" spans="4:4" x14ac:dyDescent="0.3">
      <c r="D243" s="25"/>
    </row>
    <row r="244" spans="4:4" x14ac:dyDescent="0.3">
      <c r="D244" s="25"/>
    </row>
    <row r="245" spans="4:4" x14ac:dyDescent="0.3">
      <c r="D245" s="25"/>
    </row>
    <row r="246" spans="4:4" x14ac:dyDescent="0.3">
      <c r="D246" s="25"/>
    </row>
    <row r="247" spans="4:4" x14ac:dyDescent="0.3">
      <c r="D247" s="25"/>
    </row>
    <row r="248" spans="4:4" x14ac:dyDescent="0.3">
      <c r="D248" s="25"/>
    </row>
    <row r="249" spans="4:4" x14ac:dyDescent="0.3">
      <c r="D249" s="25"/>
    </row>
    <row r="250" spans="4:4" x14ac:dyDescent="0.3">
      <c r="D250" s="25"/>
    </row>
    <row r="251" spans="4:4" x14ac:dyDescent="0.3">
      <c r="D251" s="25"/>
    </row>
    <row r="252" spans="4:4" x14ac:dyDescent="0.3">
      <c r="D252" s="25"/>
    </row>
    <row r="253" spans="4:4" x14ac:dyDescent="0.3">
      <c r="D253" s="25"/>
    </row>
    <row r="254" spans="4:4" x14ac:dyDescent="0.3">
      <c r="D254" s="25"/>
    </row>
    <row r="255" spans="4:4" x14ac:dyDescent="0.3">
      <c r="D255" s="25"/>
    </row>
    <row r="256" spans="4:4" x14ac:dyDescent="0.3">
      <c r="D256" s="25"/>
    </row>
    <row r="257" spans="4:4" x14ac:dyDescent="0.3">
      <c r="D257" s="25"/>
    </row>
    <row r="258" spans="4:4" x14ac:dyDescent="0.3">
      <c r="D258" s="25"/>
    </row>
    <row r="259" spans="4:4" x14ac:dyDescent="0.3">
      <c r="D259" s="25"/>
    </row>
    <row r="260" spans="4:4" x14ac:dyDescent="0.3">
      <c r="D260" s="25"/>
    </row>
    <row r="261" spans="4:4" x14ac:dyDescent="0.3">
      <c r="D261" s="25"/>
    </row>
    <row r="262" spans="4:4" x14ac:dyDescent="0.3">
      <c r="D262" s="25"/>
    </row>
    <row r="263" spans="4:4" x14ac:dyDescent="0.3">
      <c r="D263" s="25"/>
    </row>
    <row r="264" spans="4:4" x14ac:dyDescent="0.3">
      <c r="D264" s="25"/>
    </row>
    <row r="265" spans="4:4" x14ac:dyDescent="0.3">
      <c r="D265" s="25"/>
    </row>
    <row r="266" spans="4:4" x14ac:dyDescent="0.3">
      <c r="D266" s="25"/>
    </row>
    <row r="267" spans="4:4" x14ac:dyDescent="0.3">
      <c r="D267" s="25"/>
    </row>
    <row r="268" spans="4:4" x14ac:dyDescent="0.3">
      <c r="D268" s="25"/>
    </row>
    <row r="269" spans="4:4" x14ac:dyDescent="0.3">
      <c r="D269" s="25"/>
    </row>
    <row r="270" spans="4:4" x14ac:dyDescent="0.3">
      <c r="D270" s="25"/>
    </row>
    <row r="271" spans="4:4" x14ac:dyDescent="0.3">
      <c r="D271" s="25"/>
    </row>
    <row r="272" spans="4:4" x14ac:dyDescent="0.3">
      <c r="D272" s="25"/>
    </row>
    <row r="273" spans="4:4" x14ac:dyDescent="0.3">
      <c r="D273" s="25"/>
    </row>
    <row r="274" spans="4:4" x14ac:dyDescent="0.3">
      <c r="D274" s="25"/>
    </row>
    <row r="275" spans="4:4" x14ac:dyDescent="0.3">
      <c r="D275" s="25"/>
    </row>
    <row r="276" spans="4:4" x14ac:dyDescent="0.3">
      <c r="D276" s="25"/>
    </row>
    <row r="277" spans="4:4" x14ac:dyDescent="0.3">
      <c r="D277" s="25"/>
    </row>
    <row r="278" spans="4:4" x14ac:dyDescent="0.3">
      <c r="D278" s="25"/>
    </row>
    <row r="279" spans="4:4" x14ac:dyDescent="0.3">
      <c r="D279" s="25"/>
    </row>
    <row r="280" spans="4:4" x14ac:dyDescent="0.3">
      <c r="D280" s="25"/>
    </row>
    <row r="281" spans="4:4" x14ac:dyDescent="0.3">
      <c r="D281" s="25"/>
    </row>
    <row r="282" spans="4:4" x14ac:dyDescent="0.3">
      <c r="D282" s="25"/>
    </row>
    <row r="283" spans="4:4" x14ac:dyDescent="0.3">
      <c r="D283" s="25"/>
    </row>
    <row r="284" spans="4:4" x14ac:dyDescent="0.3">
      <c r="D284" s="25"/>
    </row>
    <row r="285" spans="4:4" x14ac:dyDescent="0.3">
      <c r="D285" s="25"/>
    </row>
    <row r="286" spans="4:4" x14ac:dyDescent="0.3">
      <c r="D286" s="25"/>
    </row>
    <row r="287" spans="4:4" x14ac:dyDescent="0.3">
      <c r="D287" s="25"/>
    </row>
    <row r="288" spans="4:4" x14ac:dyDescent="0.3">
      <c r="D288" s="25"/>
    </row>
    <row r="289" spans="4:4" x14ac:dyDescent="0.3">
      <c r="D289" s="25"/>
    </row>
    <row r="290" spans="4:4" x14ac:dyDescent="0.3">
      <c r="D290" s="25"/>
    </row>
    <row r="291" spans="4:4" x14ac:dyDescent="0.3">
      <c r="D291" s="25"/>
    </row>
    <row r="292" spans="4:4" x14ac:dyDescent="0.3">
      <c r="D292" s="25"/>
    </row>
    <row r="293" spans="4:4" x14ac:dyDescent="0.3">
      <c r="D293" s="25"/>
    </row>
    <row r="294" spans="4:4" x14ac:dyDescent="0.3">
      <c r="D294" s="25"/>
    </row>
    <row r="295" spans="4:4" x14ac:dyDescent="0.3">
      <c r="D295" s="25"/>
    </row>
    <row r="296" spans="4:4" x14ac:dyDescent="0.3">
      <c r="D296" s="25"/>
    </row>
    <row r="297" spans="4:4" x14ac:dyDescent="0.3">
      <c r="D297" s="25"/>
    </row>
    <row r="298" spans="4:4" x14ac:dyDescent="0.3">
      <c r="D298" s="25"/>
    </row>
    <row r="299" spans="4:4" x14ac:dyDescent="0.3">
      <c r="D299" s="25"/>
    </row>
    <row r="300" spans="4:4" x14ac:dyDescent="0.3">
      <c r="D300" s="25"/>
    </row>
    <row r="301" spans="4:4" x14ac:dyDescent="0.3">
      <c r="D301" s="25"/>
    </row>
    <row r="302" spans="4:4" x14ac:dyDescent="0.3">
      <c r="D302" s="25"/>
    </row>
    <row r="303" spans="4:4" x14ac:dyDescent="0.3">
      <c r="D303" s="25"/>
    </row>
    <row r="304" spans="4:4" x14ac:dyDescent="0.3">
      <c r="D304" s="25"/>
    </row>
    <row r="305" spans="4:4" x14ac:dyDescent="0.3">
      <c r="D305" s="25"/>
    </row>
    <row r="306" spans="4:4" x14ac:dyDescent="0.3">
      <c r="D306" s="25"/>
    </row>
    <row r="307" spans="4:4" x14ac:dyDescent="0.3">
      <c r="D307" s="25"/>
    </row>
    <row r="308" spans="4:4" x14ac:dyDescent="0.3">
      <c r="D308" s="25"/>
    </row>
    <row r="309" spans="4:4" x14ac:dyDescent="0.3">
      <c r="D309" s="25"/>
    </row>
    <row r="310" spans="4:4" x14ac:dyDescent="0.3">
      <c r="D310" s="25"/>
    </row>
    <row r="311" spans="4:4" x14ac:dyDescent="0.3">
      <c r="D311" s="25"/>
    </row>
    <row r="312" spans="4:4" x14ac:dyDescent="0.3">
      <c r="D312" s="25"/>
    </row>
    <row r="313" spans="4:4" x14ac:dyDescent="0.3">
      <c r="D313" s="25"/>
    </row>
    <row r="314" spans="4:4" x14ac:dyDescent="0.3">
      <c r="D314" s="25"/>
    </row>
    <row r="315" spans="4:4" x14ac:dyDescent="0.3">
      <c r="D315" s="25"/>
    </row>
    <row r="316" spans="4:4" x14ac:dyDescent="0.3">
      <c r="D316" s="25"/>
    </row>
    <row r="317" spans="4:4" x14ac:dyDescent="0.3">
      <c r="D317" s="25"/>
    </row>
    <row r="318" spans="4:4" x14ac:dyDescent="0.3">
      <c r="D318" s="25"/>
    </row>
    <row r="319" spans="4:4" x14ac:dyDescent="0.3">
      <c r="D319" s="25"/>
    </row>
    <row r="320" spans="4:4" x14ac:dyDescent="0.3">
      <c r="D320" s="25"/>
    </row>
    <row r="321" spans="4:4" x14ac:dyDescent="0.3">
      <c r="D321" s="25"/>
    </row>
    <row r="322" spans="4:4" x14ac:dyDescent="0.3">
      <c r="D322" s="25"/>
    </row>
    <row r="323" spans="4:4" x14ac:dyDescent="0.3">
      <c r="D323" s="25"/>
    </row>
    <row r="324" spans="4:4" x14ac:dyDescent="0.3">
      <c r="D324" s="25"/>
    </row>
    <row r="325" spans="4:4" x14ac:dyDescent="0.3">
      <c r="D325" s="25"/>
    </row>
    <row r="326" spans="4:4" x14ac:dyDescent="0.3">
      <c r="D326" s="25"/>
    </row>
    <row r="327" spans="4:4" x14ac:dyDescent="0.3">
      <c r="D327" s="25"/>
    </row>
    <row r="328" spans="4:4" x14ac:dyDescent="0.3">
      <c r="D328" s="25"/>
    </row>
    <row r="329" spans="4:4" x14ac:dyDescent="0.3">
      <c r="D329" s="25"/>
    </row>
    <row r="330" spans="4:4" x14ac:dyDescent="0.3">
      <c r="D330" s="25"/>
    </row>
    <row r="331" spans="4:4" x14ac:dyDescent="0.3">
      <c r="D331" s="25"/>
    </row>
    <row r="332" spans="4:4" x14ac:dyDescent="0.3">
      <c r="D332" s="25"/>
    </row>
    <row r="333" spans="4:4" x14ac:dyDescent="0.3">
      <c r="D333" s="25"/>
    </row>
    <row r="334" spans="4:4" x14ac:dyDescent="0.3">
      <c r="D334" s="25"/>
    </row>
    <row r="335" spans="4:4" x14ac:dyDescent="0.3">
      <c r="D335" s="25"/>
    </row>
    <row r="336" spans="4:4" x14ac:dyDescent="0.3">
      <c r="D336" s="25"/>
    </row>
    <row r="337" spans="4:4" x14ac:dyDescent="0.3">
      <c r="D337" s="25"/>
    </row>
    <row r="338" spans="4:4" x14ac:dyDescent="0.3">
      <c r="D338" s="25"/>
    </row>
    <row r="339" spans="4:4" x14ac:dyDescent="0.3">
      <c r="D339" s="25"/>
    </row>
    <row r="340" spans="4:4" x14ac:dyDescent="0.3">
      <c r="D340" s="25"/>
    </row>
    <row r="341" spans="4:4" x14ac:dyDescent="0.3">
      <c r="D341" s="25"/>
    </row>
    <row r="342" spans="4:4" x14ac:dyDescent="0.3">
      <c r="D342" s="25"/>
    </row>
    <row r="343" spans="4:4" x14ac:dyDescent="0.3">
      <c r="D343" s="25"/>
    </row>
    <row r="344" spans="4:4" x14ac:dyDescent="0.3">
      <c r="D344" s="25"/>
    </row>
    <row r="345" spans="4:4" x14ac:dyDescent="0.3">
      <c r="D345" s="25"/>
    </row>
    <row r="346" spans="4:4" x14ac:dyDescent="0.3">
      <c r="D346" s="25"/>
    </row>
    <row r="347" spans="4:4" x14ac:dyDescent="0.3">
      <c r="D347" s="25"/>
    </row>
  </sheetData>
  <sheetProtection sheet="1" objects="1" scenarios="1"/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F39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ColWidth="8.5546875" defaultRowHeight="14.4" x14ac:dyDescent="0.3"/>
  <cols>
    <col min="1" max="1" width="15.6640625" customWidth="1"/>
    <col min="3" max="3" width="15.109375" customWidth="1"/>
    <col min="4" max="4" width="9.5546875" customWidth="1"/>
    <col min="8" max="8" width="1.109375" customWidth="1"/>
    <col min="9" max="9" width="11.33203125" customWidth="1"/>
    <col min="10" max="10" width="1.109375" customWidth="1"/>
    <col min="11" max="11" width="14.6640625" customWidth="1"/>
    <col min="12" max="12" width="1.109375" customWidth="1"/>
    <col min="13" max="13" width="11.88671875" customWidth="1"/>
    <col min="14" max="14" width="1.109375" customWidth="1"/>
    <col min="15" max="15" width="14.44140625" customWidth="1"/>
    <col min="16" max="16" width="4.33203125" customWidth="1"/>
    <col min="17" max="17" width="11.33203125" customWidth="1"/>
    <col min="18" max="18" width="16.33203125" style="27" customWidth="1"/>
    <col min="19" max="19" width="9.5546875" customWidth="1"/>
    <col min="20" max="20" width="10.33203125" style="27" customWidth="1"/>
    <col min="21" max="21" width="10.44140625" customWidth="1"/>
    <col min="22" max="22" width="10.33203125" style="27" customWidth="1"/>
    <col min="23" max="23" width="10.44140625" customWidth="1"/>
    <col min="24" max="24" width="16.33203125" customWidth="1"/>
    <col min="28" max="28" width="10.88671875" customWidth="1"/>
    <col min="29" max="30" width="11.88671875" customWidth="1"/>
    <col min="31" max="31" width="10.6640625" customWidth="1"/>
  </cols>
  <sheetData>
    <row r="1" spans="1:32" x14ac:dyDescent="0.3">
      <c r="A1" s="28" t="s">
        <v>17</v>
      </c>
      <c r="B1" s="29" t="s">
        <v>6</v>
      </c>
      <c r="C1" s="30"/>
      <c r="D1" s="30"/>
      <c r="E1" s="30"/>
      <c r="F1" s="31"/>
      <c r="M1" s="13" t="s">
        <v>18</v>
      </c>
      <c r="N1" s="13"/>
      <c r="O1" s="13"/>
      <c r="Q1" s="19" t="s">
        <v>19</v>
      </c>
      <c r="R1" s="19" t="s">
        <v>20</v>
      </c>
      <c r="S1" s="19" t="s">
        <v>21</v>
      </c>
    </row>
    <row r="2" spans="1:32" x14ac:dyDescent="0.3">
      <c r="A2" s="28" t="s">
        <v>22</v>
      </c>
      <c r="B2" s="29" t="s">
        <v>23</v>
      </c>
      <c r="C2" s="30"/>
      <c r="D2" s="30"/>
      <c r="E2" s="30"/>
      <c r="F2" s="31"/>
      <c r="M2" s="12" t="s">
        <v>24</v>
      </c>
      <c r="N2" s="12"/>
      <c r="O2" s="32">
        <v>0.20833333333333301</v>
      </c>
      <c r="Q2" s="33">
        <v>2500</v>
      </c>
      <c r="R2" s="33">
        <v>220</v>
      </c>
      <c r="S2" s="33">
        <f>Q2/R2</f>
        <v>11.363636363636363</v>
      </c>
      <c r="AC2" s="34"/>
      <c r="AD2" s="34"/>
      <c r="AE2" s="34"/>
    </row>
    <row r="3" spans="1:32" x14ac:dyDescent="0.3">
      <c r="A3" s="28" t="s">
        <v>25</v>
      </c>
      <c r="B3" s="29" t="s">
        <v>26</v>
      </c>
      <c r="C3" s="30"/>
      <c r="D3" s="30"/>
      <c r="E3" s="30"/>
      <c r="F3" s="31"/>
      <c r="M3" s="11" t="s">
        <v>27</v>
      </c>
      <c r="N3" s="11"/>
      <c r="O3" s="35">
        <v>0</v>
      </c>
      <c r="AC3" s="34"/>
      <c r="AD3" s="34"/>
      <c r="AE3" s="34"/>
    </row>
    <row r="4" spans="1:32" x14ac:dyDescent="0.3">
      <c r="A4" s="28" t="s">
        <v>28</v>
      </c>
      <c r="B4" s="29" t="s">
        <v>29</v>
      </c>
      <c r="C4" s="30"/>
      <c r="D4" s="30"/>
      <c r="E4" s="30"/>
      <c r="F4" s="31"/>
      <c r="G4" s="36"/>
      <c r="AC4" s="34"/>
      <c r="AD4" s="34"/>
      <c r="AE4" s="37">
        <v>0.20833333333333301</v>
      </c>
    </row>
    <row r="5" spans="1:32" x14ac:dyDescent="0.3">
      <c r="AC5" s="37">
        <v>4.1666666666666699E-2</v>
      </c>
      <c r="AD5" s="37">
        <v>0.45833333333333298</v>
      </c>
      <c r="AE5" s="37">
        <v>0.91666666666666696</v>
      </c>
    </row>
    <row r="6" spans="1:32" x14ac:dyDescent="0.3">
      <c r="A6" s="10" t="s">
        <v>30</v>
      </c>
      <c r="B6" s="10"/>
      <c r="C6" s="39" t="s">
        <v>31</v>
      </c>
      <c r="D6" s="38" t="s">
        <v>32</v>
      </c>
      <c r="E6" s="10" t="s">
        <v>33</v>
      </c>
      <c r="F6" s="10"/>
      <c r="G6" s="38" t="s">
        <v>34</v>
      </c>
      <c r="H6" s="40"/>
      <c r="I6" s="38" t="s">
        <v>35</v>
      </c>
      <c r="J6" s="40"/>
      <c r="K6" s="38" t="s">
        <v>36</v>
      </c>
      <c r="L6" s="40"/>
      <c r="M6" s="38" t="s">
        <v>24</v>
      </c>
      <c r="N6" s="40"/>
      <c r="O6" s="38" t="s">
        <v>37</v>
      </c>
      <c r="AB6" s="41" t="s">
        <v>38</v>
      </c>
      <c r="AC6" s="42" t="s">
        <v>15</v>
      </c>
      <c r="AD6" s="42" t="s">
        <v>14</v>
      </c>
      <c r="AE6" s="43" t="s">
        <v>11</v>
      </c>
    </row>
    <row r="7" spans="1:32" x14ac:dyDescent="0.3">
      <c r="A7" s="44">
        <v>42005</v>
      </c>
      <c r="B7" s="45" t="str">
        <f t="shared" ref="B7:B37" si="0">PROPER(TEXT(WEEKDAY(A7),"ddd"))</f>
        <v>Qui</v>
      </c>
      <c r="C7" s="24" t="s">
        <v>39</v>
      </c>
      <c r="D7" s="46">
        <v>6.9444444444444404E-4</v>
      </c>
      <c r="E7" s="46">
        <v>0.5</v>
      </c>
      <c r="F7" s="46">
        <v>0.51041666666666696</v>
      </c>
      <c r="G7" s="46">
        <v>0.95833333333333304</v>
      </c>
      <c r="I7" s="47">
        <f t="shared" ref="I7:I37" si="1">(E7-D7)+IF(G7&lt;F7,((1+G7)-F7),G7-F7)</f>
        <v>0.94722222222222163</v>
      </c>
      <c r="K7" s="48">
        <f>IF(C7&lt;&gt;"Falta Justificada",IF(VLOOKUP(B7,$Q$9:$V$15,6,0)&gt;(I7+Cadastro!$B$10),VLOOKUP(B7,$Q$9:$V$15,6,0)-I7,0),0)</f>
        <v>0</v>
      </c>
      <c r="M7" s="48">
        <f>IF(VLOOKUP(B7,$Q$9:$V$15,6,0)-(I7-Cadastro!$B$10)&lt;0,ABS(VLOOKUP(B7,$Q$9:$V$15,6,0)-I7),0)</f>
        <v>0.5805555555555546</v>
      </c>
      <c r="O7" s="49" t="s">
        <v>40</v>
      </c>
      <c r="Q7" s="9" t="s">
        <v>41</v>
      </c>
      <c r="R7" s="9"/>
      <c r="S7" s="9"/>
      <c r="T7" s="9"/>
      <c r="U7" s="9"/>
      <c r="V7" s="9"/>
      <c r="W7" s="9"/>
      <c r="AB7" s="50">
        <f t="shared" ref="AB7:AB37" si="2">F7-E7</f>
        <v>1.0416666666666963E-2</v>
      </c>
      <c r="AC7" s="50">
        <f t="shared" ref="AC7:AC37" si="3">IF(AND(F7&gt;0,E7&gt;0,$AC$5&gt;AB7),$AC$5-AB7,0)</f>
        <v>3.1249999999999736E-2</v>
      </c>
      <c r="AD7" s="50">
        <f t="shared" ref="AD7:AD37" si="4">IF(((1-G7)+D7)&lt;$AD$5,$AD$5-((1-G7)+D7),0)</f>
        <v>0.41597222222222158</v>
      </c>
      <c r="AE7" s="50">
        <f t="shared" ref="AE7:AE37" si="5">IF(AND(D7&lt;$AE$4,D7&gt;0),$AE$4-D7,0)+IF(AND(G7&gt;$AE$5,G7&gt;0),G7-$AE$5,0)</f>
        <v>0.24930555555555464</v>
      </c>
      <c r="AF7" s="36"/>
    </row>
    <row r="8" spans="1:32" x14ac:dyDescent="0.3">
      <c r="A8" s="44">
        <v>42006</v>
      </c>
      <c r="B8" s="45" t="str">
        <f t="shared" si="0"/>
        <v>Sex</v>
      </c>
      <c r="C8" s="24" t="s">
        <v>42</v>
      </c>
      <c r="D8" s="46">
        <v>0.344444444444444</v>
      </c>
      <c r="E8" s="46">
        <v>0.5</v>
      </c>
      <c r="F8" s="46">
        <v>0.55208333333333304</v>
      </c>
      <c r="G8" s="46">
        <v>0.75208333333333299</v>
      </c>
      <c r="I8" s="47">
        <f t="shared" si="1"/>
        <v>0.35555555555555596</v>
      </c>
      <c r="K8" s="48">
        <f>IF(C8&lt;&gt;"Falta Justificada",IF(VLOOKUP(B8,$Q$9:$V$15,6,0)&gt;(I8+Cadastro!$B$10),VLOOKUP(B8,$Q$9:$V$15,6,0)-I8,0),0)</f>
        <v>1.1111111111111016E-2</v>
      </c>
      <c r="M8" s="48">
        <f>IF(VLOOKUP(B8,$Q$9:$V$15,6,0)-(I8-Cadastro!$B$10)&lt;0,ABS(VLOOKUP(B8,$Q$9:$V$15,6,0)-I8),0)</f>
        <v>0</v>
      </c>
      <c r="O8" s="49" t="s">
        <v>43</v>
      </c>
      <c r="Q8" s="51" t="s">
        <v>30</v>
      </c>
      <c r="R8" s="51" t="s">
        <v>32</v>
      </c>
      <c r="S8" s="8" t="s">
        <v>33</v>
      </c>
      <c r="T8" s="8"/>
      <c r="U8" s="52" t="s">
        <v>34</v>
      </c>
      <c r="V8" s="52" t="s">
        <v>44</v>
      </c>
      <c r="W8" s="52" t="s">
        <v>33</v>
      </c>
      <c r="AB8" s="53">
        <f t="shared" si="2"/>
        <v>5.2083333333333037E-2</v>
      </c>
      <c r="AC8" s="53">
        <f t="shared" si="3"/>
        <v>0</v>
      </c>
      <c r="AD8" s="53">
        <f t="shared" si="4"/>
        <v>0</v>
      </c>
      <c r="AE8" s="53">
        <f t="shared" si="5"/>
        <v>0</v>
      </c>
    </row>
    <row r="9" spans="1:32" x14ac:dyDescent="0.3">
      <c r="A9" s="44">
        <v>42007</v>
      </c>
      <c r="B9" s="45" t="str">
        <f t="shared" si="0"/>
        <v>Sáb</v>
      </c>
      <c r="C9" s="24"/>
      <c r="D9" s="46"/>
      <c r="E9" s="46"/>
      <c r="F9" s="46"/>
      <c r="G9" s="46"/>
      <c r="I9" s="47">
        <f t="shared" si="1"/>
        <v>0</v>
      </c>
      <c r="K9" s="48">
        <f>IF(C9&lt;&gt;"Falta Justificada",IF(VLOOKUP(B9,$Q$9:$V$15,6,0)&gt;(I9+Cadastro!$B$10),VLOOKUP(B9,$Q$9:$V$15,6,0)-I9,0),0)</f>
        <v>0.16666666666666702</v>
      </c>
      <c r="M9" s="48">
        <f>IF(VLOOKUP(B9,$Q$9:$V$15,6,0)-(I9-Cadastro!$B$10)&lt;0,ABS(VLOOKUP(B9,$Q$9:$V$15,6,0)-I9),0)</f>
        <v>0</v>
      </c>
      <c r="O9" s="49"/>
      <c r="Q9" s="54" t="str">
        <f>PROPER(TEXT(1,"ddd"))</f>
        <v>Dom</v>
      </c>
      <c r="R9" s="46">
        <v>0</v>
      </c>
      <c r="S9" s="46">
        <v>0</v>
      </c>
      <c r="T9" s="46">
        <v>0</v>
      </c>
      <c r="U9" s="55">
        <v>0</v>
      </c>
      <c r="V9" s="53">
        <f t="shared" ref="V9:V15" si="6">(U9-R9)-(T9-S9)</f>
        <v>0</v>
      </c>
      <c r="W9" s="53">
        <f t="shared" ref="W9:W15" si="7">T9-S9</f>
        <v>0</v>
      </c>
      <c r="AB9" s="53">
        <f t="shared" si="2"/>
        <v>0</v>
      </c>
      <c r="AC9" s="53">
        <f t="shared" si="3"/>
        <v>0</v>
      </c>
      <c r="AD9" s="53">
        <f t="shared" si="4"/>
        <v>0</v>
      </c>
      <c r="AE9" s="53">
        <f t="shared" si="5"/>
        <v>0</v>
      </c>
    </row>
    <row r="10" spans="1:32" x14ac:dyDescent="0.3">
      <c r="A10" s="44">
        <v>42008</v>
      </c>
      <c r="B10" s="45" t="str">
        <f t="shared" si="0"/>
        <v>Dom</v>
      </c>
      <c r="C10" s="24"/>
      <c r="D10" s="46"/>
      <c r="E10" s="46"/>
      <c r="F10" s="46"/>
      <c r="G10" s="46"/>
      <c r="I10" s="47">
        <f t="shared" si="1"/>
        <v>0</v>
      </c>
      <c r="K10" s="48">
        <f>IF(C10&lt;&gt;"Falta Justificada",IF(VLOOKUP(B10,$Q$9:$V$15,6,0)&gt;(I10+Cadastro!$B$10),VLOOKUP(B10,$Q$9:$V$15,6,0)-I10,0),0)</f>
        <v>0</v>
      </c>
      <c r="M10" s="48">
        <f>IF(VLOOKUP(B10,$Q$9:$V$15,6,0)-(I10-Cadastro!$B$10)&lt;0,ABS(VLOOKUP(B10,$Q$9:$V$15,6,0)-I10),0)</f>
        <v>0</v>
      </c>
      <c r="O10" s="49"/>
      <c r="Q10" s="54" t="str">
        <f>PROPER(TEXT(2,"ddd"))</f>
        <v>Seg</v>
      </c>
      <c r="R10" s="46">
        <v>0.33333333333333298</v>
      </c>
      <c r="S10" s="56">
        <v>0.5</v>
      </c>
      <c r="T10" s="46">
        <v>0.55208333333333304</v>
      </c>
      <c r="U10" s="56">
        <v>0.75208333333333299</v>
      </c>
      <c r="V10" s="53">
        <f t="shared" si="6"/>
        <v>0.36666666666666697</v>
      </c>
      <c r="W10" s="53">
        <f t="shared" si="7"/>
        <v>5.2083333333333037E-2</v>
      </c>
      <c r="AB10" s="53">
        <f t="shared" si="2"/>
        <v>0</v>
      </c>
      <c r="AC10" s="53">
        <f t="shared" si="3"/>
        <v>0</v>
      </c>
      <c r="AD10" s="53">
        <f t="shared" si="4"/>
        <v>0</v>
      </c>
      <c r="AE10" s="53">
        <f t="shared" si="5"/>
        <v>0</v>
      </c>
    </row>
    <row r="11" spans="1:32" x14ac:dyDescent="0.3">
      <c r="A11" s="44">
        <v>42009</v>
      </c>
      <c r="B11" s="45" t="str">
        <f t="shared" si="0"/>
        <v>Seg</v>
      </c>
      <c r="C11" s="24" t="s">
        <v>45</v>
      </c>
      <c r="D11" s="46">
        <v>0.33333333333333298</v>
      </c>
      <c r="E11" s="46">
        <v>0.5</v>
      </c>
      <c r="F11" s="46">
        <v>0.55208333333333304</v>
      </c>
      <c r="G11" s="46">
        <v>0.75208333333333299</v>
      </c>
      <c r="I11" s="47">
        <f t="shared" si="1"/>
        <v>0.36666666666666697</v>
      </c>
      <c r="K11" s="48">
        <f>IF(C11&lt;&gt;"Falta Justificada",IF(VLOOKUP(B11,$Q$9:$V$15,6,0)&gt;(I11+Cadastro!$B$10),VLOOKUP(B11,$Q$9:$V$15,6,0)-I11,0),0)</f>
        <v>0</v>
      </c>
      <c r="M11" s="48">
        <f>IF(VLOOKUP(B11,$Q$9:$V$15,6,0)-(I11-Cadastro!$B$10)&lt;0,ABS(VLOOKUP(B11,$Q$9:$V$15,6,0)-I11),0)</f>
        <v>0</v>
      </c>
      <c r="O11" s="49"/>
      <c r="Q11" s="54" t="str">
        <f>PROPER(TEXT(3,"ddd"))</f>
        <v>Ter</v>
      </c>
      <c r="R11" s="46">
        <v>0.33333333333333298</v>
      </c>
      <c r="S11" s="56">
        <v>0.5</v>
      </c>
      <c r="T11" s="46">
        <v>0.55208333333333304</v>
      </c>
      <c r="U11" s="56">
        <v>0.75208333333333299</v>
      </c>
      <c r="V11" s="53">
        <f t="shared" si="6"/>
        <v>0.36666666666666697</v>
      </c>
      <c r="W11" s="53">
        <f t="shared" si="7"/>
        <v>5.2083333333333037E-2</v>
      </c>
      <c r="AB11" s="53">
        <f t="shared" si="2"/>
        <v>5.2083333333333037E-2</v>
      </c>
      <c r="AC11" s="53">
        <f t="shared" si="3"/>
        <v>0</v>
      </c>
      <c r="AD11" s="53">
        <f t="shared" si="4"/>
        <v>0</v>
      </c>
      <c r="AE11" s="53">
        <f t="shared" si="5"/>
        <v>0</v>
      </c>
    </row>
    <row r="12" spans="1:32" x14ac:dyDescent="0.3">
      <c r="A12" s="44">
        <v>42010</v>
      </c>
      <c r="B12" s="45" t="str">
        <f t="shared" si="0"/>
        <v>Ter</v>
      </c>
      <c r="C12" s="24" t="s">
        <v>39</v>
      </c>
      <c r="D12" s="46">
        <v>0.33333333333333298</v>
      </c>
      <c r="E12" s="46">
        <v>0.5</v>
      </c>
      <c r="F12" s="46">
        <v>0.55208333333333304</v>
      </c>
      <c r="G12" s="46">
        <v>0.75208333333333299</v>
      </c>
      <c r="I12" s="47">
        <f t="shared" si="1"/>
        <v>0.36666666666666697</v>
      </c>
      <c r="K12" s="48">
        <f>IF(C12&lt;&gt;"Falta Justificada",IF(VLOOKUP(B12,$Q$9:$V$15,6,0)&gt;(I12+Cadastro!$B$10),VLOOKUP(B12,$Q$9:$V$15,6,0)-I12,0),0)</f>
        <v>0</v>
      </c>
      <c r="M12" s="48">
        <f>IF(VLOOKUP(B12,$Q$9:$V$15,6,0)-(I12-Cadastro!$B$10)&lt;0,ABS(VLOOKUP(B12,$Q$9:$V$15,6,0)-I12),0)</f>
        <v>0</v>
      </c>
      <c r="O12" s="49"/>
      <c r="Q12" s="54" t="str">
        <f>PROPER(TEXT(4,"ddd"))</f>
        <v>Qua</v>
      </c>
      <c r="R12" s="46">
        <v>0.33333333333333298</v>
      </c>
      <c r="S12" s="56">
        <v>0.5</v>
      </c>
      <c r="T12" s="46">
        <v>0.55208333333333304</v>
      </c>
      <c r="U12" s="56">
        <v>0.75208333333333299</v>
      </c>
      <c r="V12" s="53">
        <f t="shared" si="6"/>
        <v>0.36666666666666697</v>
      </c>
      <c r="W12" s="53">
        <f t="shared" si="7"/>
        <v>5.2083333333333037E-2</v>
      </c>
      <c r="AB12" s="53">
        <f t="shared" si="2"/>
        <v>5.2083333333333037E-2</v>
      </c>
      <c r="AC12" s="53">
        <f t="shared" si="3"/>
        <v>0</v>
      </c>
      <c r="AD12" s="53">
        <f t="shared" si="4"/>
        <v>0</v>
      </c>
      <c r="AE12" s="53">
        <f t="shared" si="5"/>
        <v>0</v>
      </c>
    </row>
    <row r="13" spans="1:32" x14ac:dyDescent="0.3">
      <c r="A13" s="44">
        <v>42011</v>
      </c>
      <c r="B13" s="45" t="str">
        <f t="shared" si="0"/>
        <v>Qua</v>
      </c>
      <c r="C13" s="24" t="s">
        <v>39</v>
      </c>
      <c r="D13" s="46">
        <v>0.33333333333333298</v>
      </c>
      <c r="E13" s="46">
        <v>0.5</v>
      </c>
      <c r="F13" s="46">
        <v>0.59375</v>
      </c>
      <c r="G13" s="46">
        <v>0.6875</v>
      </c>
      <c r="I13" s="47">
        <f t="shared" si="1"/>
        <v>0.26041666666666702</v>
      </c>
      <c r="K13" s="48">
        <f>IF(C13&lt;&gt;"Falta Justificada",IF(VLOOKUP(B13,$Q$9:$V$15,6,0)&gt;(I13+Cadastro!$B$10),VLOOKUP(B13,$Q$9:$V$15,6,0)-I13,0),0)</f>
        <v>0.10624999999999996</v>
      </c>
      <c r="M13" s="48">
        <f>IF(VLOOKUP(B13,$Q$9:$V$15,6,0)-(I13-Cadastro!$B$10)&lt;0,ABS(VLOOKUP(B13,$Q$9:$V$15,6,0)-I13),0)</f>
        <v>0</v>
      </c>
      <c r="O13" s="49" t="s">
        <v>43</v>
      </c>
      <c r="Q13" s="54" t="str">
        <f>PROPER(TEXT(5,"ddd"))</f>
        <v>Qui</v>
      </c>
      <c r="R13" s="46">
        <v>0.33333333333333298</v>
      </c>
      <c r="S13" s="56">
        <v>0.5</v>
      </c>
      <c r="T13" s="46">
        <v>0.55208333333333304</v>
      </c>
      <c r="U13" s="56">
        <v>0.75208333333333299</v>
      </c>
      <c r="V13" s="53">
        <f t="shared" si="6"/>
        <v>0.36666666666666697</v>
      </c>
      <c r="W13" s="53">
        <f t="shared" si="7"/>
        <v>5.2083333333333037E-2</v>
      </c>
      <c r="AB13" s="53">
        <f t="shared" si="2"/>
        <v>9.375E-2</v>
      </c>
      <c r="AC13" s="53">
        <f t="shared" si="3"/>
        <v>0</v>
      </c>
      <c r="AD13" s="53">
        <f t="shared" si="4"/>
        <v>0</v>
      </c>
      <c r="AE13" s="53">
        <f t="shared" si="5"/>
        <v>0</v>
      </c>
    </row>
    <row r="14" spans="1:32" x14ac:dyDescent="0.3">
      <c r="A14" s="44">
        <v>42012</v>
      </c>
      <c r="B14" s="45" t="str">
        <f t="shared" si="0"/>
        <v>Qui</v>
      </c>
      <c r="C14" s="24"/>
      <c r="D14" s="46">
        <v>0.33333333333333298</v>
      </c>
      <c r="E14" s="46">
        <v>0.5</v>
      </c>
      <c r="F14" s="46">
        <v>0.55208333333333304</v>
      </c>
      <c r="G14" s="46">
        <v>0.75208333333333299</v>
      </c>
      <c r="I14" s="47">
        <f t="shared" si="1"/>
        <v>0.36666666666666697</v>
      </c>
      <c r="K14" s="48">
        <f>IF(C14&lt;&gt;"Falta Justificada",IF(VLOOKUP(B14,$Q$9:$V$15,6,0)&gt;(I14+Cadastro!$B$10),VLOOKUP(B14,$Q$9:$V$15,6,0)-I14,0),0)</f>
        <v>0</v>
      </c>
      <c r="M14" s="48">
        <f>IF(VLOOKUP(B14,$Q$9:$V$15,6,0)-(I14-Cadastro!$B$10)&lt;0,ABS(VLOOKUP(B14,$Q$9:$V$15,6,0)-I14),0)</f>
        <v>0</v>
      </c>
      <c r="O14" s="49"/>
      <c r="Q14" s="54" t="str">
        <f>PROPER(TEXT(6,"ddd"))</f>
        <v>Sex</v>
      </c>
      <c r="R14" s="46">
        <v>0.33333333333333298</v>
      </c>
      <c r="S14" s="56">
        <v>0.5</v>
      </c>
      <c r="T14" s="46">
        <v>0.55208333333333304</v>
      </c>
      <c r="U14" s="56">
        <v>0.75208333333333299</v>
      </c>
      <c r="V14" s="53">
        <f t="shared" si="6"/>
        <v>0.36666666666666697</v>
      </c>
      <c r="W14" s="53">
        <f t="shared" si="7"/>
        <v>5.2083333333333037E-2</v>
      </c>
      <c r="AB14" s="53">
        <f t="shared" si="2"/>
        <v>5.2083333333333037E-2</v>
      </c>
      <c r="AC14" s="53">
        <f t="shared" si="3"/>
        <v>0</v>
      </c>
      <c r="AD14" s="53">
        <f t="shared" si="4"/>
        <v>0</v>
      </c>
      <c r="AE14" s="53">
        <f t="shared" si="5"/>
        <v>0</v>
      </c>
    </row>
    <row r="15" spans="1:32" x14ac:dyDescent="0.3">
      <c r="A15" s="44">
        <v>42013</v>
      </c>
      <c r="B15" s="45" t="str">
        <f t="shared" si="0"/>
        <v>Sex</v>
      </c>
      <c r="C15" s="24"/>
      <c r="D15" s="46">
        <v>0.33333333333333298</v>
      </c>
      <c r="E15" s="46">
        <v>0.5</v>
      </c>
      <c r="F15" s="46">
        <v>0.55208333333333304</v>
      </c>
      <c r="G15" s="46">
        <v>0.75208333333333299</v>
      </c>
      <c r="I15" s="47">
        <f t="shared" si="1"/>
        <v>0.36666666666666697</v>
      </c>
      <c r="K15" s="48">
        <f>IF(C15&lt;&gt;"Falta Justificada",IF(VLOOKUP(B15,$Q$9:$V$15,6,0)&gt;(I15+Cadastro!$B$10),VLOOKUP(B15,$Q$9:$V$15,6,0)-I15,0),0)</f>
        <v>0</v>
      </c>
      <c r="M15" s="48">
        <f>IF(VLOOKUP(B15,$Q$9:$V$15,6,0)-(I15-Cadastro!$B$10)&lt;0,ABS(VLOOKUP(B15,$Q$9:$V$15,6,0)-I15),0)</f>
        <v>0</v>
      </c>
      <c r="O15" s="49"/>
      <c r="Q15" s="54" t="str">
        <f>PROPER(TEXT(7,"ddd"))</f>
        <v>Sáb</v>
      </c>
      <c r="R15" s="46">
        <v>0.33333333333333298</v>
      </c>
      <c r="S15" s="46">
        <v>0</v>
      </c>
      <c r="T15" s="46">
        <v>0</v>
      </c>
      <c r="U15" s="55">
        <v>0.5</v>
      </c>
      <c r="V15" s="53">
        <f t="shared" si="6"/>
        <v>0.16666666666666702</v>
      </c>
      <c r="W15" s="53">
        <f t="shared" si="7"/>
        <v>0</v>
      </c>
      <c r="AB15" s="53">
        <f t="shared" si="2"/>
        <v>5.2083333333333037E-2</v>
      </c>
      <c r="AC15" s="53">
        <f t="shared" si="3"/>
        <v>0</v>
      </c>
      <c r="AD15" s="53">
        <f t="shared" si="4"/>
        <v>0</v>
      </c>
      <c r="AE15" s="53">
        <f t="shared" si="5"/>
        <v>0</v>
      </c>
    </row>
    <row r="16" spans="1:32" x14ac:dyDescent="0.3">
      <c r="A16" s="44">
        <v>42014</v>
      </c>
      <c r="B16" s="45" t="str">
        <f t="shared" si="0"/>
        <v>Sáb</v>
      </c>
      <c r="C16" s="24" t="s">
        <v>46</v>
      </c>
      <c r="D16" s="46">
        <v>0.33333333333333298</v>
      </c>
      <c r="E16" s="46"/>
      <c r="F16" s="46"/>
      <c r="G16" s="46">
        <v>0.5</v>
      </c>
      <c r="I16" s="47">
        <f t="shared" si="1"/>
        <v>0.16666666666666702</v>
      </c>
      <c r="K16" s="48">
        <f>IF(C16&lt;&gt;"Falta Justificada",IF(VLOOKUP(B16,$Q$9:$V$15,6,0)&gt;(I16+Cadastro!$B$10),VLOOKUP(B16,$Q$9:$V$15,6,0)-I16,0),0)</f>
        <v>0</v>
      </c>
      <c r="M16" s="48">
        <f>IF(VLOOKUP(B16,$Q$9:$V$15,6,0)-(I16-Cadastro!$B$10)&lt;0,ABS(VLOOKUP(B16,$Q$9:$V$15,6,0)-I16),0)</f>
        <v>0</v>
      </c>
      <c r="O16" s="49"/>
      <c r="AB16" s="53">
        <f t="shared" si="2"/>
        <v>0</v>
      </c>
      <c r="AC16" s="53">
        <f t="shared" si="3"/>
        <v>0</v>
      </c>
      <c r="AD16" s="53">
        <f t="shared" si="4"/>
        <v>0</v>
      </c>
      <c r="AE16" s="53">
        <f t="shared" si="5"/>
        <v>0</v>
      </c>
    </row>
    <row r="17" spans="1:31" x14ac:dyDescent="0.3">
      <c r="A17" s="44">
        <v>42015</v>
      </c>
      <c r="B17" s="45" t="str">
        <f t="shared" si="0"/>
        <v>Dom</v>
      </c>
      <c r="C17" s="24"/>
      <c r="D17" s="46"/>
      <c r="E17" s="46"/>
      <c r="F17" s="46"/>
      <c r="G17" s="46"/>
      <c r="I17" s="47">
        <f t="shared" si="1"/>
        <v>0</v>
      </c>
      <c r="K17" s="48">
        <f>IF(C17&lt;&gt;"Falta Justificada",IF(VLOOKUP(B17,$Q$9:$V$15,6,0)&gt;(I17+Cadastro!$B$10),VLOOKUP(B17,$Q$9:$V$15,6,0)-I17,0),0)</f>
        <v>0</v>
      </c>
      <c r="M17" s="48">
        <f>IF(VLOOKUP(B17,$Q$9:$V$15,6,0)-(I17-Cadastro!$B$10)&lt;0,ABS(VLOOKUP(B17,$Q$9:$V$15,6,0)-I17),0)</f>
        <v>0</v>
      </c>
      <c r="O17" s="49"/>
      <c r="Q17" s="7" t="s">
        <v>47</v>
      </c>
      <c r="R17" s="7"/>
      <c r="S17" s="7"/>
      <c r="AB17" s="53">
        <f t="shared" si="2"/>
        <v>0</v>
      </c>
      <c r="AC17" s="53">
        <f t="shared" si="3"/>
        <v>0</v>
      </c>
      <c r="AD17" s="53">
        <f t="shared" si="4"/>
        <v>0</v>
      </c>
      <c r="AE17" s="53">
        <f t="shared" si="5"/>
        <v>0</v>
      </c>
    </row>
    <row r="18" spans="1:31" x14ac:dyDescent="0.3">
      <c r="A18" s="44">
        <v>42016</v>
      </c>
      <c r="B18" s="45" t="str">
        <f t="shared" si="0"/>
        <v>Seg</v>
      </c>
      <c r="C18" s="24" t="s">
        <v>39</v>
      </c>
      <c r="D18" s="46">
        <v>0.33333333333333298</v>
      </c>
      <c r="E18" s="46">
        <v>0.5</v>
      </c>
      <c r="F18" s="46">
        <v>0.55208333333333304</v>
      </c>
      <c r="G18" s="46">
        <v>0.79166666666666696</v>
      </c>
      <c r="I18" s="47">
        <f t="shared" si="1"/>
        <v>0.40625000000000094</v>
      </c>
      <c r="K18" s="48">
        <f>IF(C18&lt;&gt;"Falta Justificada",IF(VLOOKUP(B18,$Q$9:$V$15,6,0)&gt;(I18+Cadastro!$B$10),VLOOKUP(B18,$Q$9:$V$15,6,0)-I18,0),0)</f>
        <v>0</v>
      </c>
      <c r="M18" s="48">
        <f>IF(VLOOKUP(B18,$Q$9:$V$15,6,0)-(I18-Cadastro!$B$10)&lt;0,ABS(VLOOKUP(B18,$Q$9:$V$15,6,0)-I18),0)</f>
        <v>3.958333333333397E-2</v>
      </c>
      <c r="O18" s="49" t="s">
        <v>43</v>
      </c>
      <c r="Q18" s="6" t="s">
        <v>48</v>
      </c>
      <c r="R18" s="6"/>
      <c r="S18" s="57">
        <f>SUM(I:I)</f>
        <v>9.2361111111111214</v>
      </c>
      <c r="AB18" s="53">
        <f t="shared" si="2"/>
        <v>5.2083333333333037E-2</v>
      </c>
      <c r="AC18" s="53">
        <f t="shared" si="3"/>
        <v>0</v>
      </c>
      <c r="AD18" s="53">
        <f t="shared" si="4"/>
        <v>0</v>
      </c>
      <c r="AE18" s="53">
        <f t="shared" si="5"/>
        <v>0</v>
      </c>
    </row>
    <row r="19" spans="1:31" x14ac:dyDescent="0.3">
      <c r="A19" s="44">
        <v>42017</v>
      </c>
      <c r="B19" s="45" t="str">
        <f t="shared" si="0"/>
        <v>Ter</v>
      </c>
      <c r="C19" s="24" t="s">
        <v>39</v>
      </c>
      <c r="D19" s="46">
        <v>0.33333333333333298</v>
      </c>
      <c r="E19" s="46">
        <v>0.5</v>
      </c>
      <c r="F19" s="46">
        <v>0.55208333333333304</v>
      </c>
      <c r="G19" s="46">
        <v>0.75208333333333299</v>
      </c>
      <c r="I19" s="47">
        <f t="shared" si="1"/>
        <v>0.36666666666666697</v>
      </c>
      <c r="K19" s="48">
        <f>IF(C19&lt;&gt;"Falta Justificada",IF(VLOOKUP(B19,$Q$9:$V$15,6,0)&gt;(I19+Cadastro!$B$10),VLOOKUP(B19,$Q$9:$V$15,6,0)-I19,0),0)</f>
        <v>0</v>
      </c>
      <c r="M19" s="48">
        <f>IF(VLOOKUP(B19,$Q$9:$V$15,6,0)-(I19-Cadastro!$B$10)&lt;0,ABS(VLOOKUP(B19,$Q$9:$V$15,6,0)-I19),0)</f>
        <v>0</v>
      </c>
      <c r="O19" s="49"/>
      <c r="Q19" s="58" t="s">
        <v>36</v>
      </c>
      <c r="R19" s="58"/>
      <c r="S19" s="47">
        <f>SUM(K:K)</f>
        <v>0.28402777777777799</v>
      </c>
      <c r="AB19" s="53">
        <f t="shared" si="2"/>
        <v>5.2083333333333037E-2</v>
      </c>
      <c r="AC19" s="53">
        <f t="shared" si="3"/>
        <v>0</v>
      </c>
      <c r="AD19" s="53">
        <f t="shared" si="4"/>
        <v>0</v>
      </c>
      <c r="AE19" s="53">
        <f t="shared" si="5"/>
        <v>0</v>
      </c>
    </row>
    <row r="20" spans="1:31" x14ac:dyDescent="0.3">
      <c r="A20" s="44">
        <v>42018</v>
      </c>
      <c r="B20" s="45" t="str">
        <f t="shared" si="0"/>
        <v>Qua</v>
      </c>
      <c r="C20" s="24" t="s">
        <v>39</v>
      </c>
      <c r="D20" s="46">
        <v>0.33333333333333298</v>
      </c>
      <c r="E20" s="46">
        <v>0.5</v>
      </c>
      <c r="F20" s="46">
        <v>0.55208333333333304</v>
      </c>
      <c r="G20" s="46">
        <v>0.75208333333333299</v>
      </c>
      <c r="I20" s="47">
        <f t="shared" si="1"/>
        <v>0.36666666666666697</v>
      </c>
      <c r="K20" s="48">
        <f>IF(C20&lt;&gt;"Falta Justificada",IF(VLOOKUP(B20,$Q$9:$V$15,6,0)&gt;(I20+Cadastro!$B$10),VLOOKUP(B20,$Q$9:$V$15,6,0)-I20,0),0)</f>
        <v>0</v>
      </c>
      <c r="M20" s="48">
        <f>IF(VLOOKUP(B20,$Q$9:$V$15,6,0)-(I20-Cadastro!$B$10)&lt;0,ABS(VLOOKUP(B20,$Q$9:$V$15,6,0)-I20),0)</f>
        <v>0</v>
      </c>
      <c r="O20" s="49"/>
      <c r="Q20" s="58" t="s">
        <v>24</v>
      </c>
      <c r="R20" s="58"/>
      <c r="S20" s="47">
        <f>SUM(M:M)</f>
        <v>0.62013888888888857</v>
      </c>
      <c r="AB20" s="53">
        <f t="shared" si="2"/>
        <v>5.2083333333333037E-2</v>
      </c>
      <c r="AC20" s="53">
        <f t="shared" si="3"/>
        <v>0</v>
      </c>
      <c r="AD20" s="53">
        <f t="shared" si="4"/>
        <v>0</v>
      </c>
      <c r="AE20" s="53">
        <f t="shared" si="5"/>
        <v>0</v>
      </c>
    </row>
    <row r="21" spans="1:31" x14ac:dyDescent="0.3">
      <c r="A21" s="44">
        <v>42019</v>
      </c>
      <c r="B21" s="45" t="str">
        <f t="shared" si="0"/>
        <v>Qui</v>
      </c>
      <c r="C21" s="24" t="s">
        <v>39</v>
      </c>
      <c r="D21" s="46">
        <v>0.33333333333333298</v>
      </c>
      <c r="E21" s="46">
        <v>0.5</v>
      </c>
      <c r="F21" s="46">
        <v>0.55208333333333304</v>
      </c>
      <c r="G21" s="46">
        <v>0.75208333333333299</v>
      </c>
      <c r="I21" s="47">
        <f t="shared" si="1"/>
        <v>0.36666666666666697</v>
      </c>
      <c r="K21" s="48">
        <f>IF(C21&lt;&gt;"Falta Justificada",IF(VLOOKUP(B21,$Q$9:$V$15,6,0)&gt;(I21+Cadastro!$B$10),VLOOKUP(B21,$Q$9:$V$15,6,0)-I21,0),0)</f>
        <v>0</v>
      </c>
      <c r="M21" s="48">
        <f>IF(VLOOKUP(B21,$Q$9:$V$15,6,0)-(I21-Cadastro!$B$10)&lt;0,ABS(VLOOKUP(B21,$Q$9:$V$15,6,0)-I21),0)</f>
        <v>0</v>
      </c>
      <c r="O21" s="49"/>
      <c r="AB21" s="53">
        <f t="shared" si="2"/>
        <v>5.2083333333333037E-2</v>
      </c>
      <c r="AC21" s="53">
        <f t="shared" si="3"/>
        <v>0</v>
      </c>
      <c r="AD21" s="53">
        <f t="shared" si="4"/>
        <v>0</v>
      </c>
      <c r="AE21" s="53">
        <f t="shared" si="5"/>
        <v>0</v>
      </c>
    </row>
    <row r="22" spans="1:31" x14ac:dyDescent="0.3">
      <c r="A22" s="44">
        <v>42020</v>
      </c>
      <c r="B22" s="45" t="str">
        <f t="shared" si="0"/>
        <v>Sex</v>
      </c>
      <c r="C22" s="24" t="s">
        <v>39</v>
      </c>
      <c r="D22" s="46">
        <v>0.33333333333333298</v>
      </c>
      <c r="E22" s="46">
        <v>0.5</v>
      </c>
      <c r="F22" s="46">
        <v>0.55208333333333304</v>
      </c>
      <c r="G22" s="46">
        <v>0.75208333333333299</v>
      </c>
      <c r="I22" s="47">
        <f t="shared" si="1"/>
        <v>0.36666666666666697</v>
      </c>
      <c r="K22" s="48">
        <f>IF(C22&lt;&gt;"Falta Justificada",IF(VLOOKUP(B22,$Q$9:$V$15,6,0)&gt;(I22+Cadastro!$B$10),VLOOKUP(B22,$Q$9:$V$15,6,0)-I22,0),0)</f>
        <v>0</v>
      </c>
      <c r="M22" s="48">
        <f>IF(VLOOKUP(B22,$Q$9:$V$15,6,0)-(I22-Cadastro!$B$10)&lt;0,ABS(VLOOKUP(B22,$Q$9:$V$15,6,0)-I22),0)</f>
        <v>0</v>
      </c>
      <c r="O22" s="49"/>
      <c r="Q22" s="7" t="s">
        <v>49</v>
      </c>
      <c r="R22" s="7"/>
      <c r="S22" s="7"/>
      <c r="T22" s="7"/>
      <c r="U22" s="7"/>
      <c r="V22" s="7"/>
      <c r="W22" s="7"/>
      <c r="X22" s="7"/>
      <c r="Y22" s="7"/>
      <c r="AB22" s="53">
        <f t="shared" si="2"/>
        <v>5.2083333333333037E-2</v>
      </c>
      <c r="AC22" s="53">
        <f t="shared" si="3"/>
        <v>0</v>
      </c>
      <c r="AD22" s="53">
        <f t="shared" si="4"/>
        <v>0</v>
      </c>
      <c r="AE22" s="53">
        <f t="shared" si="5"/>
        <v>0</v>
      </c>
    </row>
    <row r="23" spans="1:31" x14ac:dyDescent="0.3">
      <c r="A23" s="44">
        <v>42021</v>
      </c>
      <c r="B23" s="45" t="str">
        <f t="shared" si="0"/>
        <v>Sáb</v>
      </c>
      <c r="C23" s="24" t="s">
        <v>39</v>
      </c>
      <c r="D23" s="46">
        <v>0.33333333333333298</v>
      </c>
      <c r="E23" s="46"/>
      <c r="F23" s="46"/>
      <c r="G23" s="46">
        <v>0.5</v>
      </c>
      <c r="I23" s="47">
        <f t="shared" si="1"/>
        <v>0.16666666666666702</v>
      </c>
      <c r="K23" s="48">
        <f>IF(C23&lt;&gt;"Falta Justificada",IF(VLOOKUP(B23,$Q$9:$V$15,6,0)&gt;(I23+Cadastro!$B$10),VLOOKUP(B23,$Q$9:$V$15,6,0)-I23,0),0)</f>
        <v>0</v>
      </c>
      <c r="M23" s="48">
        <f>IF(VLOOKUP(B23,$Q$9:$V$15,6,0)-(I23-Cadastro!$B$10)&lt;0,ABS(VLOOKUP(B23,$Q$9:$V$15,6,0)-I23),0)</f>
        <v>0</v>
      </c>
      <c r="O23" s="49"/>
      <c r="Q23" s="59" t="s">
        <v>30</v>
      </c>
      <c r="R23" s="60" t="s">
        <v>40</v>
      </c>
      <c r="S23" s="61" t="s">
        <v>50</v>
      </c>
      <c r="T23" s="60" t="s">
        <v>51</v>
      </c>
      <c r="U23" s="60" t="s">
        <v>52</v>
      </c>
      <c r="V23" s="61" t="s">
        <v>53</v>
      </c>
      <c r="W23" s="60" t="s">
        <v>54</v>
      </c>
      <c r="X23" s="60" t="s">
        <v>55</v>
      </c>
      <c r="Y23" s="61" t="s">
        <v>56</v>
      </c>
      <c r="AB23" s="53">
        <f t="shared" si="2"/>
        <v>0</v>
      </c>
      <c r="AC23" s="53">
        <f t="shared" si="3"/>
        <v>0</v>
      </c>
      <c r="AD23" s="53">
        <f t="shared" si="4"/>
        <v>0</v>
      </c>
      <c r="AE23" s="53">
        <f t="shared" si="5"/>
        <v>0</v>
      </c>
    </row>
    <row r="24" spans="1:31" x14ac:dyDescent="0.3">
      <c r="A24" s="44">
        <v>42022</v>
      </c>
      <c r="B24" s="45" t="str">
        <f t="shared" si="0"/>
        <v>Dom</v>
      </c>
      <c r="C24" s="24"/>
      <c r="D24" s="46"/>
      <c r="E24" s="46"/>
      <c r="F24" s="46"/>
      <c r="G24" s="46"/>
      <c r="I24" s="47">
        <f t="shared" si="1"/>
        <v>0</v>
      </c>
      <c r="K24" s="48">
        <f>IF(C24&lt;&gt;"Falta Justificada",IF(VLOOKUP(B24,$Q$9:$V$15,6,0)&gt;(I24+Cadastro!$B$10),VLOOKUP(B24,$Q$9:$V$15,6,0)-I24,0),0)</f>
        <v>0</v>
      </c>
      <c r="M24" s="48">
        <f>IF(VLOOKUP(B24,$Q$9:$V$15,6,0)-(I24-Cadastro!$B$10)&lt;0,ABS(VLOOKUP(B24,$Q$9:$V$15,6,0)-I24),0)</f>
        <v>0</v>
      </c>
      <c r="O24" s="49"/>
      <c r="Q24" s="62" t="s">
        <v>57</v>
      </c>
      <c r="R24" s="63">
        <f t="shared" ref="R24:R30" si="8">SUMIF($B$7:$B$37,Q24,$M$7:$M$37)</f>
        <v>0</v>
      </c>
      <c r="S24" s="64">
        <f>Cadastro!$B$4</f>
        <v>1</v>
      </c>
      <c r="T24" s="63">
        <f t="shared" ref="T24:T35" si="9">R24*(1+S24)</f>
        <v>0</v>
      </c>
      <c r="U24" s="63">
        <f t="shared" ref="U24:U30" si="10">SUMIFS($M:$M,$O:$O,"Banco de horas",$B:$B,Q24)*(1+S24)</f>
        <v>0</v>
      </c>
      <c r="V24" s="63">
        <f t="shared" ref="V24:V30" si="11">SUMIFS($M:$M,$O:$O,"Hora extra",$B:$B,Q24)*(1+S24)</f>
        <v>0</v>
      </c>
      <c r="W24" s="63">
        <f t="shared" ref="W24:W30" si="12">SUMIF($B$7:$B$37,Q24,$K$7:$K$37)</f>
        <v>0</v>
      </c>
      <c r="X24" s="63">
        <f t="shared" ref="X24:X30" si="13">SUMIFS($K:$K,$O:$O,"Banco de horas",$B:$B,Q24)</f>
        <v>0</v>
      </c>
      <c r="Y24" s="63">
        <f t="shared" ref="Y24:Y30" si="14">SUMIFS($K:$K,$O:$O,"Hora extra",$B:$B,Q24)</f>
        <v>0</v>
      </c>
      <c r="AB24" s="53">
        <f t="shared" si="2"/>
        <v>0</v>
      </c>
      <c r="AC24" s="53">
        <f t="shared" si="3"/>
        <v>0</v>
      </c>
      <c r="AD24" s="53">
        <f t="shared" si="4"/>
        <v>0</v>
      </c>
      <c r="AE24" s="53">
        <f t="shared" si="5"/>
        <v>0</v>
      </c>
    </row>
    <row r="25" spans="1:31" x14ac:dyDescent="0.3">
      <c r="A25" s="44">
        <v>42023</v>
      </c>
      <c r="B25" s="45" t="str">
        <f t="shared" si="0"/>
        <v>Seg</v>
      </c>
      <c r="C25" s="24" t="s">
        <v>39</v>
      </c>
      <c r="D25" s="46">
        <v>0.33333333333333298</v>
      </c>
      <c r="E25" s="46">
        <v>0.5</v>
      </c>
      <c r="F25" s="46">
        <v>0.55208333333333304</v>
      </c>
      <c r="G25" s="46">
        <v>0.75208333333333299</v>
      </c>
      <c r="I25" s="47">
        <f t="shared" si="1"/>
        <v>0.36666666666666697</v>
      </c>
      <c r="K25" s="48">
        <f>IF(C25&lt;&gt;"Falta Justificada",IF(VLOOKUP(B25,$Q$9:$V$15,6,0)&gt;(I25+Cadastro!$B$10),VLOOKUP(B25,$Q$9:$V$15,6,0)-I25,0),0)</f>
        <v>0</v>
      </c>
      <c r="M25" s="48">
        <f>IF(VLOOKUP(B25,$Q$9:$V$15,6,0)-(I25-Cadastro!$B$10)&lt;0,ABS(VLOOKUP(B25,$Q$9:$V$15,6,0)-I25),0)</f>
        <v>0</v>
      </c>
      <c r="O25" s="49"/>
      <c r="Q25" s="62" t="s">
        <v>58</v>
      </c>
      <c r="R25" s="63">
        <f t="shared" si="8"/>
        <v>3.958333333333397E-2</v>
      </c>
      <c r="S25" s="64">
        <f>Cadastro!$B$2</f>
        <v>0.25</v>
      </c>
      <c r="T25" s="63">
        <f t="shared" si="9"/>
        <v>4.9479166666667462E-2</v>
      </c>
      <c r="U25" s="63">
        <f t="shared" si="10"/>
        <v>4.9479166666667462E-2</v>
      </c>
      <c r="V25" s="63">
        <f t="shared" si="11"/>
        <v>0</v>
      </c>
      <c r="W25" s="63">
        <f t="shared" si="12"/>
        <v>0</v>
      </c>
      <c r="X25" s="63">
        <f t="shared" si="13"/>
        <v>0</v>
      </c>
      <c r="Y25" s="63">
        <f t="shared" si="14"/>
        <v>0</v>
      </c>
      <c r="AB25" s="53">
        <f t="shared" si="2"/>
        <v>5.2083333333333037E-2</v>
      </c>
      <c r="AC25" s="53">
        <f t="shared" si="3"/>
        <v>0</v>
      </c>
      <c r="AD25" s="53">
        <f t="shared" si="4"/>
        <v>0</v>
      </c>
      <c r="AE25" s="53">
        <f t="shared" si="5"/>
        <v>0</v>
      </c>
    </row>
    <row r="26" spans="1:31" x14ac:dyDescent="0.3">
      <c r="A26" s="44">
        <v>42024</v>
      </c>
      <c r="B26" s="45" t="str">
        <f t="shared" si="0"/>
        <v>Ter</v>
      </c>
      <c r="C26" s="24" t="s">
        <v>39</v>
      </c>
      <c r="D26" s="46">
        <v>0.33333333333333298</v>
      </c>
      <c r="E26" s="46">
        <v>0.5</v>
      </c>
      <c r="F26" s="46">
        <v>0.55208333333333304</v>
      </c>
      <c r="G26" s="46">
        <v>0.75208333333333299</v>
      </c>
      <c r="I26" s="47">
        <f t="shared" si="1"/>
        <v>0.36666666666666697</v>
      </c>
      <c r="K26" s="48">
        <f>IF(C26&lt;&gt;"Falta Justificada",IF(VLOOKUP(B26,$Q$9:$V$15,6,0)&gt;(I26+Cadastro!$B$10),VLOOKUP(B26,$Q$9:$V$15,6,0)-I26,0),0)</f>
        <v>0</v>
      </c>
      <c r="M26" s="48">
        <f>IF(VLOOKUP(B26,$Q$9:$V$15,6,0)-(I26-Cadastro!$B$10)&lt;0,ABS(VLOOKUP(B26,$Q$9:$V$15,6,0)-I26),0)</f>
        <v>0</v>
      </c>
      <c r="O26" s="49"/>
      <c r="Q26" s="62" t="s">
        <v>59</v>
      </c>
      <c r="R26" s="63">
        <f t="shared" si="8"/>
        <v>0</v>
      </c>
      <c r="S26" s="64">
        <f>Cadastro!$B$2</f>
        <v>0.25</v>
      </c>
      <c r="T26" s="63">
        <f t="shared" si="9"/>
        <v>0</v>
      </c>
      <c r="U26" s="63">
        <f t="shared" si="10"/>
        <v>0</v>
      </c>
      <c r="V26" s="63">
        <f t="shared" si="11"/>
        <v>0</v>
      </c>
      <c r="W26" s="63">
        <f t="shared" si="12"/>
        <v>0</v>
      </c>
      <c r="X26" s="63">
        <f t="shared" si="13"/>
        <v>0</v>
      </c>
      <c r="Y26" s="63">
        <f t="shared" si="14"/>
        <v>0</v>
      </c>
      <c r="AB26" s="53">
        <f t="shared" si="2"/>
        <v>5.2083333333333037E-2</v>
      </c>
      <c r="AC26" s="53">
        <f t="shared" si="3"/>
        <v>0</v>
      </c>
      <c r="AD26" s="53">
        <f t="shared" si="4"/>
        <v>0</v>
      </c>
      <c r="AE26" s="53">
        <f t="shared" si="5"/>
        <v>0</v>
      </c>
    </row>
    <row r="27" spans="1:31" x14ac:dyDescent="0.3">
      <c r="A27" s="44">
        <v>42025</v>
      </c>
      <c r="B27" s="45" t="str">
        <f t="shared" si="0"/>
        <v>Qua</v>
      </c>
      <c r="C27" s="24" t="s">
        <v>39</v>
      </c>
      <c r="D27" s="46">
        <v>0.33333333333333298</v>
      </c>
      <c r="E27" s="46">
        <v>0.5</v>
      </c>
      <c r="F27" s="46">
        <v>0.55208333333333304</v>
      </c>
      <c r="G27" s="46">
        <v>0.75208333333333299</v>
      </c>
      <c r="I27" s="47">
        <f t="shared" si="1"/>
        <v>0.36666666666666697</v>
      </c>
      <c r="K27" s="48">
        <f>IF(C27&lt;&gt;"Falta Justificada",IF(VLOOKUP(B27,$Q$9:$V$15,6,0)&gt;(I27+Cadastro!$B$10),VLOOKUP(B27,$Q$9:$V$15,6,0)-I27,0),0)</f>
        <v>0</v>
      </c>
      <c r="M27" s="48">
        <f>IF(VLOOKUP(B27,$Q$9:$V$15,6,0)-(I27-Cadastro!$B$10)&lt;0,ABS(VLOOKUP(B27,$Q$9:$V$15,6,0)-I27),0)</f>
        <v>0</v>
      </c>
      <c r="O27" s="49"/>
      <c r="Q27" s="62" t="s">
        <v>60</v>
      </c>
      <c r="R27" s="63">
        <f t="shared" si="8"/>
        <v>0</v>
      </c>
      <c r="S27" s="64">
        <f>Cadastro!$B$2</f>
        <v>0.25</v>
      </c>
      <c r="T27" s="63">
        <f t="shared" si="9"/>
        <v>0</v>
      </c>
      <c r="U27" s="63">
        <f t="shared" si="10"/>
        <v>0</v>
      </c>
      <c r="V27" s="63">
        <f t="shared" si="11"/>
        <v>0</v>
      </c>
      <c r="W27" s="63">
        <f t="shared" si="12"/>
        <v>0.10624999999999996</v>
      </c>
      <c r="X27" s="63">
        <f t="shared" si="13"/>
        <v>0.10624999999999996</v>
      </c>
      <c r="Y27" s="63">
        <f t="shared" si="14"/>
        <v>0</v>
      </c>
      <c r="AB27" s="53">
        <f t="shared" si="2"/>
        <v>5.2083333333333037E-2</v>
      </c>
      <c r="AC27" s="53">
        <f t="shared" si="3"/>
        <v>0</v>
      </c>
      <c r="AD27" s="53">
        <f t="shared" si="4"/>
        <v>0</v>
      </c>
      <c r="AE27" s="53">
        <f t="shared" si="5"/>
        <v>0</v>
      </c>
    </row>
    <row r="28" spans="1:31" x14ac:dyDescent="0.3">
      <c r="A28" s="44">
        <v>42026</v>
      </c>
      <c r="B28" s="45" t="str">
        <f t="shared" si="0"/>
        <v>Qui</v>
      </c>
      <c r="C28" s="24" t="s">
        <v>39</v>
      </c>
      <c r="D28" s="46">
        <v>0.33333333333333298</v>
      </c>
      <c r="E28" s="46">
        <v>0.5</v>
      </c>
      <c r="F28" s="46">
        <v>0.55208333333333304</v>
      </c>
      <c r="G28" s="46">
        <v>0.75208333333333299</v>
      </c>
      <c r="I28" s="47">
        <f t="shared" si="1"/>
        <v>0.36666666666666697</v>
      </c>
      <c r="K28" s="48">
        <f>IF(C28&lt;&gt;"Falta Justificada",IF(VLOOKUP(B28,$Q$9:$V$15,6,0)&gt;(I28+Cadastro!$B$10),VLOOKUP(B28,$Q$9:$V$15,6,0)-I28,0),0)</f>
        <v>0</v>
      </c>
      <c r="M28" s="48">
        <f>IF(VLOOKUP(B28,$Q$9:$V$15,6,0)-(I28-Cadastro!$B$10)&lt;0,ABS(VLOOKUP(B28,$Q$9:$V$15,6,0)-I28),0)</f>
        <v>0</v>
      </c>
      <c r="O28" s="49"/>
      <c r="Q28" s="62" t="s">
        <v>61</v>
      </c>
      <c r="R28" s="63">
        <f t="shared" si="8"/>
        <v>0.5805555555555546</v>
      </c>
      <c r="S28" s="64">
        <f>Cadastro!$B$2</f>
        <v>0.25</v>
      </c>
      <c r="T28" s="63">
        <f t="shared" si="9"/>
        <v>0.72569444444444331</v>
      </c>
      <c r="U28" s="63">
        <f t="shared" si="10"/>
        <v>0</v>
      </c>
      <c r="V28" s="63">
        <f t="shared" si="11"/>
        <v>0.72569444444444331</v>
      </c>
      <c r="W28" s="63">
        <f t="shared" si="12"/>
        <v>0</v>
      </c>
      <c r="X28" s="63">
        <f t="shared" si="13"/>
        <v>0</v>
      </c>
      <c r="Y28" s="63">
        <f t="shared" si="14"/>
        <v>0</v>
      </c>
      <c r="AB28" s="53">
        <f t="shared" si="2"/>
        <v>5.2083333333333037E-2</v>
      </c>
      <c r="AC28" s="53">
        <f t="shared" si="3"/>
        <v>0</v>
      </c>
      <c r="AD28" s="53">
        <f t="shared" si="4"/>
        <v>0</v>
      </c>
      <c r="AE28" s="53">
        <f t="shared" si="5"/>
        <v>0</v>
      </c>
    </row>
    <row r="29" spans="1:31" x14ac:dyDescent="0.3">
      <c r="A29" s="44">
        <v>42027</v>
      </c>
      <c r="B29" s="45" t="str">
        <f t="shared" si="0"/>
        <v>Sex</v>
      </c>
      <c r="C29" s="24" t="s">
        <v>39</v>
      </c>
      <c r="D29" s="46">
        <v>0.33333333333333298</v>
      </c>
      <c r="E29" s="46">
        <v>0.5</v>
      </c>
      <c r="F29" s="46">
        <v>0.55208333333333304</v>
      </c>
      <c r="G29" s="46">
        <v>0.75208333333333299</v>
      </c>
      <c r="I29" s="47">
        <f t="shared" si="1"/>
        <v>0.36666666666666697</v>
      </c>
      <c r="K29" s="48">
        <f>IF(C29&lt;&gt;"Falta Justificada",IF(VLOOKUP(B29,$Q$9:$V$15,6,0)&gt;(I29+Cadastro!$B$10),VLOOKUP(B29,$Q$9:$V$15,6,0)-I29,0),0)</f>
        <v>0</v>
      </c>
      <c r="M29" s="48">
        <f>IF(VLOOKUP(B29,$Q$9:$V$15,6,0)-(I29-Cadastro!$B$10)&lt;0,ABS(VLOOKUP(B29,$Q$9:$V$15,6,0)-I29),0)</f>
        <v>0</v>
      </c>
      <c r="O29" s="49"/>
      <c r="Q29" s="62" t="s">
        <v>62</v>
      </c>
      <c r="R29" s="63">
        <f t="shared" si="8"/>
        <v>0</v>
      </c>
      <c r="S29" s="64">
        <f>Cadastro!$B$2</f>
        <v>0.25</v>
      </c>
      <c r="T29" s="63">
        <f t="shared" si="9"/>
        <v>0</v>
      </c>
      <c r="U29" s="63">
        <f t="shared" si="10"/>
        <v>0</v>
      </c>
      <c r="V29" s="63">
        <f t="shared" si="11"/>
        <v>0</v>
      </c>
      <c r="W29" s="63">
        <f t="shared" si="12"/>
        <v>1.1111111111111016E-2</v>
      </c>
      <c r="X29" s="63">
        <f t="shared" si="13"/>
        <v>1.1111111111111016E-2</v>
      </c>
      <c r="Y29" s="63">
        <f t="shared" si="14"/>
        <v>0</v>
      </c>
      <c r="AB29" s="53">
        <f t="shared" si="2"/>
        <v>5.2083333333333037E-2</v>
      </c>
      <c r="AC29" s="53">
        <f t="shared" si="3"/>
        <v>0</v>
      </c>
      <c r="AD29" s="53">
        <f t="shared" si="4"/>
        <v>0</v>
      </c>
      <c r="AE29" s="53">
        <f t="shared" si="5"/>
        <v>0</v>
      </c>
    </row>
    <row r="30" spans="1:31" x14ac:dyDescent="0.3">
      <c r="A30" s="44">
        <v>42028</v>
      </c>
      <c r="B30" s="45" t="str">
        <f t="shared" si="0"/>
        <v>Sáb</v>
      </c>
      <c r="C30" s="24" t="s">
        <v>39</v>
      </c>
      <c r="D30" s="46">
        <v>0.33333333333333298</v>
      </c>
      <c r="E30" s="46"/>
      <c r="F30" s="46"/>
      <c r="G30" s="46">
        <v>0.5</v>
      </c>
      <c r="I30" s="47">
        <f t="shared" si="1"/>
        <v>0.16666666666666702</v>
      </c>
      <c r="K30" s="48">
        <f>IF(C30&lt;&gt;"Falta Justificada",IF(VLOOKUP(B30,$Q$9:$V$15,6,0)&gt;(I30+Cadastro!$B$10),VLOOKUP(B30,$Q$9:$V$15,6,0)-I30,0),0)</f>
        <v>0</v>
      </c>
      <c r="M30" s="48">
        <f>IF(VLOOKUP(B30,$Q$9:$V$15,6,0)-(I30-Cadastro!$B$10)&lt;0,ABS(VLOOKUP(B30,$Q$9:$V$15,6,0)-I30),0)</f>
        <v>0</v>
      </c>
      <c r="O30" s="49"/>
      <c r="Q30" s="62" t="s">
        <v>63</v>
      </c>
      <c r="R30" s="63">
        <f t="shared" si="8"/>
        <v>0</v>
      </c>
      <c r="S30" s="64">
        <f>Cadastro!$B$3</f>
        <v>0.4</v>
      </c>
      <c r="T30" s="63">
        <f t="shared" si="9"/>
        <v>0</v>
      </c>
      <c r="U30" s="63">
        <f t="shared" si="10"/>
        <v>0</v>
      </c>
      <c r="V30" s="63">
        <f t="shared" si="11"/>
        <v>0</v>
      </c>
      <c r="W30" s="63">
        <f t="shared" si="12"/>
        <v>0.16666666666666702</v>
      </c>
      <c r="X30" s="63">
        <f t="shared" si="13"/>
        <v>0</v>
      </c>
      <c r="Y30" s="63">
        <f t="shared" si="14"/>
        <v>0</v>
      </c>
      <c r="AB30" s="53">
        <f t="shared" si="2"/>
        <v>0</v>
      </c>
      <c r="AC30" s="53">
        <f t="shared" si="3"/>
        <v>0</v>
      </c>
      <c r="AD30" s="53">
        <f t="shared" si="4"/>
        <v>0</v>
      </c>
      <c r="AE30" s="53">
        <f t="shared" si="5"/>
        <v>0</v>
      </c>
    </row>
    <row r="31" spans="1:31" x14ac:dyDescent="0.3">
      <c r="A31" s="44">
        <v>42029</v>
      </c>
      <c r="B31" s="45" t="str">
        <f t="shared" si="0"/>
        <v>Dom</v>
      </c>
      <c r="C31" s="24"/>
      <c r="D31" s="46"/>
      <c r="E31" s="46"/>
      <c r="F31" s="46"/>
      <c r="G31" s="46"/>
      <c r="I31" s="47">
        <f t="shared" si="1"/>
        <v>0</v>
      </c>
      <c r="K31" s="48">
        <f>IF(C31&lt;&gt;"Falta Justificada",IF(VLOOKUP(B31,$Q$9:$V$15,6,0)&gt;(I31+Cadastro!$B$10),VLOOKUP(B31,$Q$9:$V$15,6,0)-I31,0),0)</f>
        <v>0</v>
      </c>
      <c r="M31" s="48">
        <f>IF(VLOOKUP(B31,$Q$9:$V$15,6,0)-(I31-Cadastro!$B$10)&lt;0,ABS(VLOOKUP(B31,$Q$9:$V$15,6,0)-I31),0)</f>
        <v>0</v>
      </c>
      <c r="O31" s="49"/>
      <c r="Q31" s="62" t="s">
        <v>42</v>
      </c>
      <c r="R31" s="63">
        <f>SUMIF($C:$C,Q31,I:I)</f>
        <v>0.35555555555555596</v>
      </c>
      <c r="S31" s="64">
        <f>Cadastro!$B$7</f>
        <v>1</v>
      </c>
      <c r="T31" s="63">
        <f t="shared" si="9"/>
        <v>0.71111111111111192</v>
      </c>
      <c r="U31" s="63">
        <f>SUMIFS($I:$I,$O:$O,"Banco de horas",$C:$C,Q31)*(1+S31)</f>
        <v>0.71111111111111192</v>
      </c>
      <c r="V31" s="63">
        <f>SUMIFS($I:$I,$O:$O,"Hora extra",$C:$C,Q31)*(1+S31)</f>
        <v>0</v>
      </c>
      <c r="W31" s="65"/>
      <c r="X31" s="65"/>
      <c r="Y31" s="65"/>
      <c r="AB31" s="53">
        <f t="shared" si="2"/>
        <v>0</v>
      </c>
      <c r="AC31" s="53">
        <f t="shared" si="3"/>
        <v>0</v>
      </c>
      <c r="AD31" s="53">
        <f t="shared" si="4"/>
        <v>0</v>
      </c>
      <c r="AE31" s="53">
        <f t="shared" si="5"/>
        <v>0</v>
      </c>
    </row>
    <row r="32" spans="1:31" x14ac:dyDescent="0.3">
      <c r="A32" s="44">
        <v>42030</v>
      </c>
      <c r="B32" s="45" t="str">
        <f t="shared" si="0"/>
        <v>Seg</v>
      </c>
      <c r="C32" s="24" t="s">
        <v>39</v>
      </c>
      <c r="D32" s="46">
        <v>0.33333333333333298</v>
      </c>
      <c r="E32" s="46">
        <v>0.5</v>
      </c>
      <c r="F32" s="46">
        <v>0.55208333333333304</v>
      </c>
      <c r="G32" s="46">
        <v>0.75208333333333299</v>
      </c>
      <c r="I32" s="47">
        <f t="shared" si="1"/>
        <v>0.36666666666666697</v>
      </c>
      <c r="K32" s="48">
        <f>IF(C32&lt;&gt;"Falta Justificada",IF(VLOOKUP(B32,$Q$9:$V$15,6,0)&gt;(I32+Cadastro!$B$10),VLOOKUP(B32,$Q$9:$V$15,6,0)-I32,0),0)</f>
        <v>0</v>
      </c>
      <c r="M32" s="48">
        <f>IF(VLOOKUP(B32,$Q$9:$V$15,6,0)-(I32-Cadastro!$B$10)&lt;0,ABS(VLOOKUP(B32,$Q$9:$V$15,6,0)-I32),0)</f>
        <v>0</v>
      </c>
      <c r="O32" s="49"/>
      <c r="Q32" s="62" t="s">
        <v>46</v>
      </c>
      <c r="R32" s="63">
        <f>SUMIF($C:$C,Q32,I:I)</f>
        <v>0.16666666666666702</v>
      </c>
      <c r="S32" s="64">
        <f>Cadastro!$B$6</f>
        <v>0.5</v>
      </c>
      <c r="T32" s="63">
        <f t="shared" si="9"/>
        <v>0.25000000000000056</v>
      </c>
      <c r="U32" s="63">
        <f>SUMIFS($I:$I,$O:$O,"Banco de horas",$C:$C,Q32)*(1+S32)</f>
        <v>0</v>
      </c>
      <c r="V32" s="63">
        <f>SUMIFS($I:$I,$O:$O,"Hora extra",$C:$C,Q32)*(1+S32)</f>
        <v>0</v>
      </c>
      <c r="AB32" s="53">
        <f t="shared" si="2"/>
        <v>5.2083333333333037E-2</v>
      </c>
      <c r="AC32" s="53">
        <f t="shared" si="3"/>
        <v>0</v>
      </c>
      <c r="AD32" s="53">
        <f t="shared" si="4"/>
        <v>0</v>
      </c>
      <c r="AE32" s="53">
        <f t="shared" si="5"/>
        <v>0</v>
      </c>
    </row>
    <row r="33" spans="1:31" x14ac:dyDescent="0.3">
      <c r="A33" s="44">
        <v>42031</v>
      </c>
      <c r="B33" s="45" t="str">
        <f t="shared" si="0"/>
        <v>Ter</v>
      </c>
      <c r="C33" s="24" t="s">
        <v>39</v>
      </c>
      <c r="D33" s="46">
        <v>0.33333333333333298</v>
      </c>
      <c r="E33" s="46">
        <v>0.5</v>
      </c>
      <c r="F33" s="46">
        <v>0.55208333333333304</v>
      </c>
      <c r="G33" s="46">
        <v>0.75208333333333299</v>
      </c>
      <c r="I33" s="47">
        <f t="shared" si="1"/>
        <v>0.36666666666666697</v>
      </c>
      <c r="K33" s="48">
        <f>IF(C33&lt;&gt;"Falta Justificada",IF(VLOOKUP(B33,$Q$9:$V$15,6,0)&gt;(I33+Cadastro!$B$10),VLOOKUP(B33,$Q$9:$V$15,6,0)-I33,0),0)</f>
        <v>0</v>
      </c>
      <c r="M33" s="48">
        <f>IF(VLOOKUP(B33,$Q$9:$V$15,6,0)-(I33-Cadastro!$B$10)&lt;0,ABS(VLOOKUP(B33,$Q$9:$V$15,6,0)-I33),0)</f>
        <v>0</v>
      </c>
      <c r="O33" s="49"/>
      <c r="Q33" s="62" t="s">
        <v>15</v>
      </c>
      <c r="R33" s="63">
        <f>SUM(AC:AC)-$AC$5</f>
        <v>3.1249999999999736E-2</v>
      </c>
      <c r="S33" s="64">
        <f>Cadastro!$B$9</f>
        <v>0.3</v>
      </c>
      <c r="T33" s="63">
        <f t="shared" si="9"/>
        <v>4.0624999999999661E-2</v>
      </c>
      <c r="U33" s="63">
        <f>SUMIF($O:$O,"Banco de horas",$AC:$AC)*(1+$S$33)</f>
        <v>0</v>
      </c>
      <c r="V33" s="63">
        <f>SUMIF($O:$O,"Hora extra",$AC:$AC)*(1+$S$33)</f>
        <v>4.0624999999999661E-2</v>
      </c>
      <c r="AB33" s="53">
        <f t="shared" si="2"/>
        <v>5.2083333333333037E-2</v>
      </c>
      <c r="AC33" s="53">
        <f t="shared" si="3"/>
        <v>0</v>
      </c>
      <c r="AD33" s="53">
        <f t="shared" si="4"/>
        <v>0</v>
      </c>
      <c r="AE33" s="53">
        <f t="shared" si="5"/>
        <v>0</v>
      </c>
    </row>
    <row r="34" spans="1:31" x14ac:dyDescent="0.3">
      <c r="A34" s="44">
        <v>42032</v>
      </c>
      <c r="B34" s="45" t="str">
        <f t="shared" si="0"/>
        <v>Qua</v>
      </c>
      <c r="C34" s="24" t="s">
        <v>39</v>
      </c>
      <c r="D34" s="46">
        <v>0.33333333333333298</v>
      </c>
      <c r="E34" s="46">
        <v>0.5</v>
      </c>
      <c r="F34" s="46">
        <v>0.55208333333333304</v>
      </c>
      <c r="G34" s="46">
        <v>0.75208333333333299</v>
      </c>
      <c r="I34" s="47">
        <f t="shared" si="1"/>
        <v>0.36666666666666697</v>
      </c>
      <c r="K34" s="48">
        <f>IF(C34&lt;&gt;"Falta Justificada",IF(VLOOKUP(B34,$Q$9:$V$15,6,0)&gt;(I34+Cadastro!$B$10),VLOOKUP(B34,$Q$9:$V$15,6,0)-I34,0),0)</f>
        <v>0</v>
      </c>
      <c r="M34" s="48">
        <f>IF(VLOOKUP(B34,$Q$9:$V$15,6,0)-(I34-Cadastro!$B$10)&lt;0,ABS(VLOOKUP(B34,$Q$9:$V$15,6,0)-I34),0)</f>
        <v>0</v>
      </c>
      <c r="O34" s="49"/>
      <c r="Q34" s="62" t="s">
        <v>14</v>
      </c>
      <c r="R34" s="63">
        <f>SUM(AD:AD)-$AD$5</f>
        <v>0.41597222222222158</v>
      </c>
      <c r="S34" s="64">
        <f>Cadastro!B8</f>
        <v>0.3</v>
      </c>
      <c r="T34" s="63">
        <f t="shared" si="9"/>
        <v>0.54076388888888804</v>
      </c>
      <c r="U34" s="63">
        <f>SUMIF($O:$O,"Banco de horas",$AD:$AD)*(1+$S$34)</f>
        <v>0</v>
      </c>
      <c r="V34" s="63">
        <f>SUMIF($O:$O,"Hora extra",$AD:$AD)*(1+$S$34)</f>
        <v>0.54076388888888804</v>
      </c>
      <c r="AB34" s="53">
        <f t="shared" si="2"/>
        <v>5.2083333333333037E-2</v>
      </c>
      <c r="AC34" s="53">
        <f t="shared" si="3"/>
        <v>0</v>
      </c>
      <c r="AD34" s="53">
        <f t="shared" si="4"/>
        <v>0</v>
      </c>
      <c r="AE34" s="53">
        <f t="shared" si="5"/>
        <v>0</v>
      </c>
    </row>
    <row r="35" spans="1:31" x14ac:dyDescent="0.3">
      <c r="A35" s="44">
        <v>42033</v>
      </c>
      <c r="B35" s="45" t="str">
        <f t="shared" si="0"/>
        <v>Qui</v>
      </c>
      <c r="C35" s="24" t="s">
        <v>39</v>
      </c>
      <c r="D35" s="46">
        <v>0.33333333333333298</v>
      </c>
      <c r="E35" s="46">
        <v>0.5</v>
      </c>
      <c r="F35" s="46">
        <v>0.55208333333333304</v>
      </c>
      <c r="G35" s="46">
        <v>0.75208333333333299</v>
      </c>
      <c r="I35" s="47">
        <f t="shared" si="1"/>
        <v>0.36666666666666697</v>
      </c>
      <c r="K35" s="48">
        <f>IF(C35&lt;&gt;"Falta Justificada",IF(VLOOKUP(B35,$Q$9:$V$15,6,0)&gt;(I35+Cadastro!$B$10),VLOOKUP(B35,$Q$9:$V$15,6,0)-I35,0),0)</f>
        <v>0</v>
      </c>
      <c r="M35" s="48">
        <f>IF(VLOOKUP(B35,$Q$9:$V$15,6,0)-(I35-Cadastro!$B$10)&lt;0,ABS(VLOOKUP(B35,$Q$9:$V$15,6,0)-I35),0)</f>
        <v>0</v>
      </c>
      <c r="O35" s="49"/>
      <c r="Q35" s="62" t="s">
        <v>11</v>
      </c>
      <c r="R35" s="63">
        <f>SUM(AE:AE)-SUM(AE4:AE5)</f>
        <v>0.24930555555555456</v>
      </c>
      <c r="S35" s="64">
        <f>Cadastro!B5</f>
        <v>0.5</v>
      </c>
      <c r="T35" s="63">
        <f t="shared" si="9"/>
        <v>0.37395833333333184</v>
      </c>
      <c r="U35" s="63">
        <f>SUMIF($O:$O,"Banco de horas",$AE:$AE)*(1+$S$35)</f>
        <v>0</v>
      </c>
      <c r="V35" s="63">
        <f>SUMIF($O:$O,"Hora extra",$AE:$AE)*(1+$S$35)</f>
        <v>0.37395833333333195</v>
      </c>
      <c r="AB35" s="53">
        <f t="shared" si="2"/>
        <v>5.2083333333333037E-2</v>
      </c>
      <c r="AC35" s="53">
        <f t="shared" si="3"/>
        <v>0</v>
      </c>
      <c r="AD35" s="53">
        <f t="shared" si="4"/>
        <v>0</v>
      </c>
      <c r="AE35" s="53">
        <f t="shared" si="5"/>
        <v>0</v>
      </c>
    </row>
    <row r="36" spans="1:31" x14ac:dyDescent="0.3">
      <c r="A36" s="44">
        <v>42034</v>
      </c>
      <c r="B36" s="45" t="str">
        <f t="shared" si="0"/>
        <v>Sex</v>
      </c>
      <c r="C36" s="24" t="s">
        <v>39</v>
      </c>
      <c r="D36" s="46">
        <v>0.33333333333333298</v>
      </c>
      <c r="E36" s="46">
        <v>0.5</v>
      </c>
      <c r="F36" s="46">
        <v>0.55208333333333304</v>
      </c>
      <c r="G36" s="46">
        <v>0.75208333333333299</v>
      </c>
      <c r="I36" s="47">
        <f t="shared" si="1"/>
        <v>0.36666666666666697</v>
      </c>
      <c r="K36" s="48">
        <f>IF(C36&lt;&gt;"Falta Justificada",IF(VLOOKUP(B36,$Q$9:$V$15,6,0)&gt;(I36+Cadastro!$B$10),VLOOKUP(B36,$Q$9:$V$15,6,0)-I36,0),0)</f>
        <v>0</v>
      </c>
      <c r="M36" s="48">
        <f>IF(VLOOKUP(B36,$Q$9:$V$15,6,0)-(I36-Cadastro!$B$10)&lt;0,ABS(VLOOKUP(B36,$Q$9:$V$15,6,0)-I36),0)</f>
        <v>0</v>
      </c>
      <c r="O36" s="49"/>
      <c r="AB36" s="53">
        <f t="shared" si="2"/>
        <v>5.2083333333333037E-2</v>
      </c>
      <c r="AC36" s="53">
        <f t="shared" si="3"/>
        <v>0</v>
      </c>
      <c r="AD36" s="53">
        <f t="shared" si="4"/>
        <v>0</v>
      </c>
      <c r="AE36" s="53">
        <f t="shared" si="5"/>
        <v>0</v>
      </c>
    </row>
    <row r="37" spans="1:31" x14ac:dyDescent="0.3">
      <c r="A37" s="44">
        <v>42035</v>
      </c>
      <c r="B37" s="45" t="str">
        <f t="shared" si="0"/>
        <v>Sáb</v>
      </c>
      <c r="C37" s="24" t="s">
        <v>39</v>
      </c>
      <c r="D37" s="46">
        <v>0.33333333333333298</v>
      </c>
      <c r="E37" s="46"/>
      <c r="F37" s="46"/>
      <c r="G37" s="46">
        <v>0.5</v>
      </c>
      <c r="I37" s="47">
        <f t="shared" si="1"/>
        <v>0.16666666666666702</v>
      </c>
      <c r="K37" s="48">
        <f>IF(C37&lt;&gt;"Falta Justificada",IF(VLOOKUP(B37,$Q$9:$V$15,6,0)&gt;(I37+Cadastro!$B$10),VLOOKUP(B37,$Q$9:$V$15,6,0)-I37,0),0)</f>
        <v>0</v>
      </c>
      <c r="M37" s="48">
        <f>IF(VLOOKUP(B37,$Q$9:$V$15,6,0)-(I37-Cadastro!$B$10)&lt;0,ABS(VLOOKUP(B37,$Q$9:$V$15,6,0)-I37),0)</f>
        <v>0</v>
      </c>
      <c r="O37" s="49"/>
      <c r="AB37" s="53">
        <f t="shared" si="2"/>
        <v>0</v>
      </c>
      <c r="AC37" s="53">
        <f t="shared" si="3"/>
        <v>0</v>
      </c>
      <c r="AD37" s="53">
        <f t="shared" si="4"/>
        <v>0</v>
      </c>
      <c r="AE37" s="53">
        <f t="shared" si="5"/>
        <v>0</v>
      </c>
    </row>
    <row r="39" spans="1:31" x14ac:dyDescent="0.3">
      <c r="A39" s="66"/>
      <c r="C39" s="66"/>
      <c r="E39" s="66"/>
      <c r="G39" s="66"/>
      <c r="I39" s="66"/>
      <c r="K39" s="66"/>
      <c r="M39" s="66"/>
      <c r="O39" s="66"/>
      <c r="Q39" s="66"/>
      <c r="S39" s="66"/>
      <c r="U39" s="66"/>
    </row>
  </sheetData>
  <mergeCells count="10">
    <mergeCell ref="Q7:W7"/>
    <mergeCell ref="S8:T8"/>
    <mergeCell ref="Q17:S17"/>
    <mergeCell ref="Q18:R18"/>
    <mergeCell ref="Q22:Y22"/>
    <mergeCell ref="M1:O1"/>
    <mergeCell ref="M2:N2"/>
    <mergeCell ref="M3:N3"/>
    <mergeCell ref="A6:B6"/>
    <mergeCell ref="E6:F6"/>
  </mergeCells>
  <conditionalFormatting sqref="B7:B37">
    <cfRule type="expression" dxfId="46" priority="2">
      <formula>IF(OR(B7="Sáb",B7="Dom"),1,0)=1</formula>
    </cfRule>
  </conditionalFormatting>
  <conditionalFormatting sqref="I7:M37">
    <cfRule type="cellIs" dxfId="45" priority="3" operator="equal">
      <formula>0</formula>
    </cfRule>
  </conditionalFormatting>
  <conditionalFormatting sqref="M7:M37">
    <cfRule type="cellIs" dxfId="44" priority="4" operator="greaterThan">
      <formula>0</formula>
    </cfRule>
  </conditionalFormatting>
  <conditionalFormatting sqref="K7:K37">
    <cfRule type="cellIs" dxfId="43" priority="5" operator="greaterThan">
      <formula>0</formula>
    </cfRule>
  </conditionalFormatting>
  <conditionalFormatting sqref="D7:G37">
    <cfRule type="expression" dxfId="42" priority="6">
      <formula>IF(OR($I7=0,AND($D7&gt;0,$B7&gt;0,$F7&gt;0,$G7&gt;0)),1,0)=0</formula>
    </cfRule>
  </conditionalFormatting>
  <conditionalFormatting sqref="N7:O37">
    <cfRule type="cellIs" dxfId="41" priority="7" operator="equal">
      <formula>0</formula>
    </cfRule>
  </conditionalFormatting>
  <conditionalFormatting sqref="O7:O37">
    <cfRule type="cellIs" dxfId="40" priority="8" operator="equal">
      <formula>"Hora extra"</formula>
    </cfRule>
    <cfRule type="cellIs" dxfId="39" priority="9" operator="equal">
      <formula>"Banco de horas"</formula>
    </cfRule>
    <cfRule type="cellIs" dxfId="38" priority="10" operator="greaterThan">
      <formula>0</formula>
    </cfRule>
  </conditionalFormatting>
  <dataValidations count="2">
    <dataValidation type="list" allowBlank="1" showInputMessage="1" showErrorMessage="1" sqref="O7:O37" xr:uid="{00000000-0002-0000-0200-000000000000}">
      <formula1>"Banco de horas,Hora extra"</formula1>
      <formula2>0</formula2>
    </dataValidation>
    <dataValidation type="list" allowBlank="1" showInputMessage="1" showErrorMessage="1" sqref="C7:C37" xr:uid="{00000000-0002-0000-0200-000001000000}">
      <formula1>"Normal,Feriado,Folga(DSR),Falta Justificada"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39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2" sqref="C2"/>
    </sheetView>
  </sheetViews>
  <sheetFormatPr defaultColWidth="8.5546875" defaultRowHeight="14.4" x14ac:dyDescent="0.3"/>
  <cols>
    <col min="1" max="1" width="15.6640625" customWidth="1"/>
    <col min="3" max="3" width="15.109375" customWidth="1"/>
    <col min="4" max="4" width="9.5546875" customWidth="1"/>
    <col min="8" max="8" width="1.109375" customWidth="1"/>
    <col min="9" max="9" width="11.33203125" customWidth="1"/>
    <col min="10" max="10" width="1.109375" customWidth="1"/>
    <col min="11" max="11" width="14.6640625" customWidth="1"/>
    <col min="12" max="12" width="1.109375" customWidth="1"/>
    <col min="13" max="13" width="11.88671875" customWidth="1"/>
    <col min="14" max="14" width="1.109375" customWidth="1"/>
    <col min="15" max="15" width="14.44140625" customWidth="1"/>
    <col min="16" max="16" width="4.33203125" customWidth="1"/>
    <col min="17" max="17" width="11.33203125" customWidth="1"/>
    <col min="18" max="18" width="16.33203125" style="27" customWidth="1"/>
    <col min="19" max="19" width="9.5546875" customWidth="1"/>
    <col min="20" max="20" width="10.33203125" style="27" customWidth="1"/>
    <col min="21" max="21" width="10.44140625" customWidth="1"/>
    <col min="22" max="22" width="10.33203125" style="27" customWidth="1"/>
    <col min="23" max="23" width="10.44140625" customWidth="1"/>
    <col min="24" max="24" width="16.33203125" customWidth="1"/>
    <col min="28" max="28" width="10.88671875" customWidth="1"/>
    <col min="29" max="30" width="11.88671875" customWidth="1"/>
    <col min="31" max="31" width="10.6640625" customWidth="1"/>
  </cols>
  <sheetData>
    <row r="1" spans="1:32" x14ac:dyDescent="0.3">
      <c r="A1" s="28" t="s">
        <v>17</v>
      </c>
      <c r="B1" s="29" t="s">
        <v>10</v>
      </c>
      <c r="C1" s="30"/>
      <c r="D1" s="30"/>
      <c r="E1" s="30"/>
      <c r="F1" s="31"/>
      <c r="M1" s="13" t="s">
        <v>18</v>
      </c>
      <c r="N1" s="13"/>
      <c r="O1" s="13"/>
      <c r="Q1" s="19" t="s">
        <v>19</v>
      </c>
      <c r="R1" s="19" t="s">
        <v>20</v>
      </c>
      <c r="S1" s="19" t="s">
        <v>21</v>
      </c>
    </row>
    <row r="2" spans="1:32" x14ac:dyDescent="0.3">
      <c r="A2" s="28" t="s">
        <v>22</v>
      </c>
      <c r="B2" s="29" t="s">
        <v>23</v>
      </c>
      <c r="C2" s="30"/>
      <c r="D2" s="30"/>
      <c r="E2" s="30"/>
      <c r="F2" s="31"/>
      <c r="M2" s="12" t="s">
        <v>24</v>
      </c>
      <c r="N2" s="12"/>
      <c r="O2" s="32">
        <v>0.20833333333333301</v>
      </c>
      <c r="Q2" s="33">
        <v>2500</v>
      </c>
      <c r="R2" s="33">
        <v>220</v>
      </c>
      <c r="S2" s="33">
        <f>Q2/R2</f>
        <v>11.363636363636363</v>
      </c>
      <c r="AC2" s="34"/>
      <c r="AD2" s="34"/>
      <c r="AE2" s="34"/>
    </row>
    <row r="3" spans="1:32" x14ac:dyDescent="0.3">
      <c r="A3" s="28" t="s">
        <v>25</v>
      </c>
      <c r="B3" s="29" t="s">
        <v>26</v>
      </c>
      <c r="C3" s="30"/>
      <c r="D3" s="30"/>
      <c r="E3" s="30"/>
      <c r="F3" s="31"/>
      <c r="M3" s="11" t="s">
        <v>27</v>
      </c>
      <c r="N3" s="11"/>
      <c r="O3" s="35">
        <v>0</v>
      </c>
      <c r="AC3" s="34"/>
      <c r="AD3" s="34"/>
      <c r="AE3" s="34"/>
    </row>
    <row r="4" spans="1:32" x14ac:dyDescent="0.3">
      <c r="A4" s="28" t="s">
        <v>28</v>
      </c>
      <c r="B4" s="29" t="s">
        <v>29</v>
      </c>
      <c r="C4" s="30"/>
      <c r="D4" s="30"/>
      <c r="E4" s="30"/>
      <c r="F4" s="31"/>
      <c r="G4" s="36"/>
      <c r="AC4" s="34"/>
      <c r="AD4" s="34"/>
      <c r="AE4" s="37">
        <v>0.20833333333333301</v>
      </c>
    </row>
    <row r="5" spans="1:32" x14ac:dyDescent="0.3">
      <c r="AC5" s="37">
        <v>4.1666666666666699E-2</v>
      </c>
      <c r="AD5" s="37">
        <v>0.45833333333333298</v>
      </c>
      <c r="AE5" s="37">
        <v>0.91666666666666696</v>
      </c>
    </row>
    <row r="6" spans="1:32" x14ac:dyDescent="0.3">
      <c r="A6" s="10" t="s">
        <v>30</v>
      </c>
      <c r="B6" s="10"/>
      <c r="C6" s="39" t="s">
        <v>31</v>
      </c>
      <c r="D6" s="38" t="s">
        <v>32</v>
      </c>
      <c r="E6" s="10" t="s">
        <v>33</v>
      </c>
      <c r="F6" s="10"/>
      <c r="G6" s="38" t="s">
        <v>34</v>
      </c>
      <c r="H6" s="40"/>
      <c r="I6" s="38" t="s">
        <v>35</v>
      </c>
      <c r="J6" s="40"/>
      <c r="K6" s="38" t="s">
        <v>36</v>
      </c>
      <c r="L6" s="40"/>
      <c r="M6" s="38" t="s">
        <v>24</v>
      </c>
      <c r="N6" s="40"/>
      <c r="O6" s="38" t="s">
        <v>37</v>
      </c>
      <c r="AB6" s="41" t="s">
        <v>38</v>
      </c>
      <c r="AC6" s="42" t="s">
        <v>15</v>
      </c>
      <c r="AD6" s="42" t="s">
        <v>14</v>
      </c>
      <c r="AE6" s="43" t="s">
        <v>11</v>
      </c>
    </row>
    <row r="7" spans="1:32" x14ac:dyDescent="0.3">
      <c r="A7" s="44">
        <v>42005</v>
      </c>
      <c r="B7" s="45" t="str">
        <f t="shared" ref="B7:B37" si="0">PROPER(TEXT(WEEKDAY(A7),"ddd"))</f>
        <v>Qui</v>
      </c>
      <c r="C7" s="24" t="s">
        <v>39</v>
      </c>
      <c r="D7" s="46">
        <v>6.9444444444444404E-4</v>
      </c>
      <c r="E7" s="46">
        <v>0.5</v>
      </c>
      <c r="F7" s="46">
        <v>0.51041666666666696</v>
      </c>
      <c r="G7" s="46">
        <v>0.95833333333333304</v>
      </c>
      <c r="I7" s="47">
        <f t="shared" ref="I7:I37" si="1">(E7-D7)+IF(G7&lt;F7,((1+G7)-F7),G7-F7)</f>
        <v>0.94722222222222163</v>
      </c>
      <c r="K7" s="48">
        <f>IF(C7&lt;&gt;"Falta Justificada",IF(VLOOKUP(B7,$Q$9:$V$15,6,0)&gt;(I7+Cadastro!$B$10),VLOOKUP(B7,$Q$9:$V$15,6,0)-I7,0),0)</f>
        <v>0</v>
      </c>
      <c r="M7" s="48">
        <f>IF(VLOOKUP(B7,$Q$9:$V$15,6,0)-(I7-Cadastro!$B$10)&lt;0,ABS(VLOOKUP(B7,$Q$9:$V$15,6,0)-I7),0)</f>
        <v>0.5805555555555546</v>
      </c>
      <c r="O7" s="49" t="s">
        <v>40</v>
      </c>
      <c r="Q7" s="9" t="s">
        <v>41</v>
      </c>
      <c r="R7" s="9"/>
      <c r="S7" s="9"/>
      <c r="T7" s="9"/>
      <c r="U7" s="9"/>
      <c r="V7" s="9"/>
      <c r="W7" s="9"/>
      <c r="AB7" s="50">
        <f t="shared" ref="AB7:AB37" si="2">F7-E7</f>
        <v>1.0416666666666963E-2</v>
      </c>
      <c r="AC7" s="50">
        <f t="shared" ref="AC7:AC37" si="3">IF(AND(F7&gt;0,E7&gt;0,$AC$5&gt;AB7),$AC$5-AB7,0)</f>
        <v>3.1249999999999736E-2</v>
      </c>
      <c r="AD7" s="50">
        <f t="shared" ref="AD7:AD37" si="4">IF(((1-G7)+D7)&lt;$AD$5,$AD$5-((1-G7)+D7),0)</f>
        <v>0.41597222222222158</v>
      </c>
      <c r="AE7" s="50">
        <f t="shared" ref="AE7:AE37" si="5">IF(AND(D7&lt;$AE$4,D7&gt;0),$AE$4-D7,0)+IF(AND(G7&gt;$AE$5,G7&gt;0),G7-$AE$5,0)</f>
        <v>0.24930555555555464</v>
      </c>
      <c r="AF7" s="36"/>
    </row>
    <row r="8" spans="1:32" x14ac:dyDescent="0.3">
      <c r="A8" s="44">
        <v>42006</v>
      </c>
      <c r="B8" s="45" t="str">
        <f t="shared" si="0"/>
        <v>Sex</v>
      </c>
      <c r="C8" s="24" t="s">
        <v>42</v>
      </c>
      <c r="D8" s="46">
        <v>0.344444444444444</v>
      </c>
      <c r="E8" s="46">
        <v>0.5</v>
      </c>
      <c r="F8" s="46">
        <v>0.55208333333333304</v>
      </c>
      <c r="G8" s="46">
        <v>0.75208333333333299</v>
      </c>
      <c r="I8" s="47">
        <f t="shared" si="1"/>
        <v>0.35555555555555596</v>
      </c>
      <c r="K8" s="48">
        <f>IF(C8&lt;&gt;"Falta Justificada",IF(VLOOKUP(B8,$Q$9:$V$15,6,0)&gt;(I8+Cadastro!$B$10),VLOOKUP(B8,$Q$9:$V$15,6,0)-I8,0),0)</f>
        <v>1.1111111111111016E-2</v>
      </c>
      <c r="M8" s="48">
        <f>IF(VLOOKUP(B8,$Q$9:$V$15,6,0)-(I8-Cadastro!$B$10)&lt;0,ABS(VLOOKUP(B8,$Q$9:$V$15,6,0)-I8),0)</f>
        <v>0</v>
      </c>
      <c r="O8" s="49" t="s">
        <v>43</v>
      </c>
      <c r="Q8" s="51" t="s">
        <v>30</v>
      </c>
      <c r="R8" s="51" t="s">
        <v>32</v>
      </c>
      <c r="S8" s="8" t="s">
        <v>33</v>
      </c>
      <c r="T8" s="8"/>
      <c r="U8" s="52" t="s">
        <v>34</v>
      </c>
      <c r="V8" s="52" t="s">
        <v>44</v>
      </c>
      <c r="W8" s="52" t="s">
        <v>33</v>
      </c>
      <c r="AB8" s="53">
        <f t="shared" si="2"/>
        <v>5.2083333333333037E-2</v>
      </c>
      <c r="AC8" s="53">
        <f t="shared" si="3"/>
        <v>0</v>
      </c>
      <c r="AD8" s="53">
        <f t="shared" si="4"/>
        <v>0</v>
      </c>
      <c r="AE8" s="53">
        <f t="shared" si="5"/>
        <v>0</v>
      </c>
    </row>
    <row r="9" spans="1:32" x14ac:dyDescent="0.3">
      <c r="A9" s="44">
        <v>42007</v>
      </c>
      <c r="B9" s="45" t="str">
        <f t="shared" si="0"/>
        <v>Sáb</v>
      </c>
      <c r="C9" s="24"/>
      <c r="D9" s="46"/>
      <c r="E9" s="46"/>
      <c r="F9" s="46"/>
      <c r="G9" s="46"/>
      <c r="I9" s="47">
        <f t="shared" si="1"/>
        <v>0</v>
      </c>
      <c r="K9" s="48">
        <f>IF(C9&lt;&gt;"Falta Justificada",IF(VLOOKUP(B9,$Q$9:$V$15,6,0)&gt;(I9+Cadastro!$B$10),VLOOKUP(B9,$Q$9:$V$15,6,0)-I9,0),0)</f>
        <v>0.16666666666666702</v>
      </c>
      <c r="M9" s="48">
        <f>IF(VLOOKUP(B9,$Q$9:$V$15,6,0)-(I9-Cadastro!$B$10)&lt;0,ABS(VLOOKUP(B9,$Q$9:$V$15,6,0)-I9),0)</f>
        <v>0</v>
      </c>
      <c r="O9" s="49"/>
      <c r="Q9" s="54" t="str">
        <f>PROPER(TEXT(1,"ddd"))</f>
        <v>Dom</v>
      </c>
      <c r="R9" s="46">
        <v>0</v>
      </c>
      <c r="S9" s="46">
        <v>0</v>
      </c>
      <c r="T9" s="46">
        <v>0</v>
      </c>
      <c r="U9" s="55">
        <v>0</v>
      </c>
      <c r="V9" s="53">
        <f t="shared" ref="V9:V15" si="6">(U9-R9)-(T9-S9)</f>
        <v>0</v>
      </c>
      <c r="W9" s="53">
        <f t="shared" ref="W9:W15" si="7">T9-S9</f>
        <v>0</v>
      </c>
      <c r="AB9" s="53">
        <f t="shared" si="2"/>
        <v>0</v>
      </c>
      <c r="AC9" s="53">
        <f t="shared" si="3"/>
        <v>0</v>
      </c>
      <c r="AD9" s="53">
        <f t="shared" si="4"/>
        <v>0</v>
      </c>
      <c r="AE9" s="53">
        <f t="shared" si="5"/>
        <v>0</v>
      </c>
    </row>
    <row r="10" spans="1:32" x14ac:dyDescent="0.3">
      <c r="A10" s="44">
        <v>42008</v>
      </c>
      <c r="B10" s="45" t="str">
        <f t="shared" si="0"/>
        <v>Dom</v>
      </c>
      <c r="C10" s="24"/>
      <c r="D10" s="46"/>
      <c r="E10" s="46"/>
      <c r="F10" s="46"/>
      <c r="G10" s="46"/>
      <c r="I10" s="47">
        <f t="shared" si="1"/>
        <v>0</v>
      </c>
      <c r="K10" s="48">
        <f>IF(C10&lt;&gt;"Falta Justificada",IF(VLOOKUP(B10,$Q$9:$V$15,6,0)&gt;(I10+Cadastro!$B$10),VLOOKUP(B10,$Q$9:$V$15,6,0)-I10,0),0)</f>
        <v>0</v>
      </c>
      <c r="M10" s="48">
        <f>IF(VLOOKUP(B10,$Q$9:$V$15,6,0)-(I10-Cadastro!$B$10)&lt;0,ABS(VLOOKUP(B10,$Q$9:$V$15,6,0)-I10),0)</f>
        <v>0</v>
      </c>
      <c r="O10" s="49"/>
      <c r="Q10" s="54" t="str">
        <f>PROPER(TEXT(2,"ddd"))</f>
        <v>Seg</v>
      </c>
      <c r="R10" s="46">
        <v>0.33333333333333298</v>
      </c>
      <c r="S10" s="56">
        <v>0.5</v>
      </c>
      <c r="T10" s="46">
        <v>0.55208333333333304</v>
      </c>
      <c r="U10" s="56">
        <v>0.75208333333333299</v>
      </c>
      <c r="V10" s="53">
        <f t="shared" si="6"/>
        <v>0.36666666666666697</v>
      </c>
      <c r="W10" s="53">
        <f t="shared" si="7"/>
        <v>5.2083333333333037E-2</v>
      </c>
      <c r="AB10" s="53">
        <f t="shared" si="2"/>
        <v>0</v>
      </c>
      <c r="AC10" s="53">
        <f t="shared" si="3"/>
        <v>0</v>
      </c>
      <c r="AD10" s="53">
        <f t="shared" si="4"/>
        <v>0</v>
      </c>
      <c r="AE10" s="53">
        <f t="shared" si="5"/>
        <v>0</v>
      </c>
    </row>
    <row r="11" spans="1:32" x14ac:dyDescent="0.3">
      <c r="A11" s="44">
        <v>42009</v>
      </c>
      <c r="B11" s="45" t="str">
        <f t="shared" si="0"/>
        <v>Seg</v>
      </c>
      <c r="C11" s="24" t="s">
        <v>45</v>
      </c>
      <c r="D11" s="46">
        <v>0.33333333333333298</v>
      </c>
      <c r="E11" s="46">
        <v>0.5</v>
      </c>
      <c r="F11" s="46">
        <v>0.55208333333333304</v>
      </c>
      <c r="G11" s="46">
        <v>0.75208333333333299</v>
      </c>
      <c r="I11" s="47">
        <f t="shared" si="1"/>
        <v>0.36666666666666697</v>
      </c>
      <c r="K11" s="48">
        <f>IF(C11&lt;&gt;"Falta Justificada",IF(VLOOKUP(B11,$Q$9:$V$15,6,0)&gt;(I11+Cadastro!$B$10),VLOOKUP(B11,$Q$9:$V$15,6,0)-I11,0),0)</f>
        <v>0</v>
      </c>
      <c r="M11" s="48">
        <f>IF(VLOOKUP(B11,$Q$9:$V$15,6,0)-(I11-Cadastro!$B$10)&lt;0,ABS(VLOOKUP(B11,$Q$9:$V$15,6,0)-I11),0)</f>
        <v>0</v>
      </c>
      <c r="O11" s="49"/>
      <c r="Q11" s="54" t="str">
        <f>PROPER(TEXT(3,"ddd"))</f>
        <v>Ter</v>
      </c>
      <c r="R11" s="46">
        <v>0.33333333333333298</v>
      </c>
      <c r="S11" s="56">
        <v>0.5</v>
      </c>
      <c r="T11" s="46">
        <v>0.55208333333333304</v>
      </c>
      <c r="U11" s="56">
        <v>0.75208333333333299</v>
      </c>
      <c r="V11" s="53">
        <f t="shared" si="6"/>
        <v>0.36666666666666697</v>
      </c>
      <c r="W11" s="53">
        <f t="shared" si="7"/>
        <v>5.2083333333333037E-2</v>
      </c>
      <c r="AB11" s="53">
        <f t="shared" si="2"/>
        <v>5.2083333333333037E-2</v>
      </c>
      <c r="AC11" s="53">
        <f t="shared" si="3"/>
        <v>0</v>
      </c>
      <c r="AD11" s="53">
        <f t="shared" si="4"/>
        <v>0</v>
      </c>
      <c r="AE11" s="53">
        <f t="shared" si="5"/>
        <v>0</v>
      </c>
    </row>
    <row r="12" spans="1:32" x14ac:dyDescent="0.3">
      <c r="A12" s="44">
        <v>42010</v>
      </c>
      <c r="B12" s="45" t="str">
        <f t="shared" si="0"/>
        <v>Ter</v>
      </c>
      <c r="C12" s="24" t="s">
        <v>39</v>
      </c>
      <c r="D12" s="46">
        <v>0.33333333333333298</v>
      </c>
      <c r="E12" s="46">
        <v>0.5</v>
      </c>
      <c r="F12" s="46">
        <v>0.55208333333333304</v>
      </c>
      <c r="G12" s="46">
        <v>0.75208333333333299</v>
      </c>
      <c r="I12" s="47">
        <f t="shared" si="1"/>
        <v>0.36666666666666697</v>
      </c>
      <c r="K12" s="48">
        <f>IF(C12&lt;&gt;"Falta Justificada",IF(VLOOKUP(B12,$Q$9:$V$15,6,0)&gt;(I12+Cadastro!$B$10),VLOOKUP(B12,$Q$9:$V$15,6,0)-I12,0),0)</f>
        <v>0</v>
      </c>
      <c r="M12" s="48">
        <f>IF(VLOOKUP(B12,$Q$9:$V$15,6,0)-(I12-Cadastro!$B$10)&lt;0,ABS(VLOOKUP(B12,$Q$9:$V$15,6,0)-I12),0)</f>
        <v>0</v>
      </c>
      <c r="O12" s="49"/>
      <c r="Q12" s="54" t="str">
        <f>PROPER(TEXT(4,"ddd"))</f>
        <v>Qua</v>
      </c>
      <c r="R12" s="46">
        <v>0.33333333333333298</v>
      </c>
      <c r="S12" s="56">
        <v>0.5</v>
      </c>
      <c r="T12" s="46">
        <v>0.55208333333333304</v>
      </c>
      <c r="U12" s="56">
        <v>0.75208333333333299</v>
      </c>
      <c r="V12" s="53">
        <f t="shared" si="6"/>
        <v>0.36666666666666697</v>
      </c>
      <c r="W12" s="53">
        <f t="shared" si="7"/>
        <v>5.2083333333333037E-2</v>
      </c>
      <c r="AB12" s="53">
        <f t="shared" si="2"/>
        <v>5.2083333333333037E-2</v>
      </c>
      <c r="AC12" s="53">
        <f t="shared" si="3"/>
        <v>0</v>
      </c>
      <c r="AD12" s="53">
        <f t="shared" si="4"/>
        <v>0</v>
      </c>
      <c r="AE12" s="53">
        <f t="shared" si="5"/>
        <v>0</v>
      </c>
    </row>
    <row r="13" spans="1:32" x14ac:dyDescent="0.3">
      <c r="A13" s="44">
        <v>42011</v>
      </c>
      <c r="B13" s="45" t="str">
        <f t="shared" si="0"/>
        <v>Qua</v>
      </c>
      <c r="C13" s="24" t="s">
        <v>39</v>
      </c>
      <c r="D13" s="46">
        <v>0.33333333333333298</v>
      </c>
      <c r="E13" s="46">
        <v>0.5</v>
      </c>
      <c r="F13" s="46">
        <v>0.59375</v>
      </c>
      <c r="G13" s="46">
        <v>0.6875</v>
      </c>
      <c r="I13" s="47">
        <f t="shared" si="1"/>
        <v>0.26041666666666702</v>
      </c>
      <c r="K13" s="48">
        <f>IF(C13&lt;&gt;"Falta Justificada",IF(VLOOKUP(B13,$Q$9:$V$15,6,0)&gt;(I13+Cadastro!$B$10),VLOOKUP(B13,$Q$9:$V$15,6,0)-I13,0),0)</f>
        <v>0.10624999999999996</v>
      </c>
      <c r="M13" s="48">
        <f>IF(VLOOKUP(B13,$Q$9:$V$15,6,0)-(I13-Cadastro!$B$10)&lt;0,ABS(VLOOKUP(B13,$Q$9:$V$15,6,0)-I13),0)</f>
        <v>0</v>
      </c>
      <c r="O13" s="49" t="s">
        <v>43</v>
      </c>
      <c r="Q13" s="54" t="str">
        <f>PROPER(TEXT(5,"ddd"))</f>
        <v>Qui</v>
      </c>
      <c r="R13" s="46">
        <v>0.33333333333333298</v>
      </c>
      <c r="S13" s="56">
        <v>0.5</v>
      </c>
      <c r="T13" s="46">
        <v>0.55208333333333304</v>
      </c>
      <c r="U13" s="56">
        <v>0.75208333333333299</v>
      </c>
      <c r="V13" s="53">
        <f t="shared" si="6"/>
        <v>0.36666666666666697</v>
      </c>
      <c r="W13" s="53">
        <f t="shared" si="7"/>
        <v>5.2083333333333037E-2</v>
      </c>
      <c r="AB13" s="53">
        <f t="shared" si="2"/>
        <v>9.375E-2</v>
      </c>
      <c r="AC13" s="53">
        <f t="shared" si="3"/>
        <v>0</v>
      </c>
      <c r="AD13" s="53">
        <f t="shared" si="4"/>
        <v>0</v>
      </c>
      <c r="AE13" s="53">
        <f t="shared" si="5"/>
        <v>0</v>
      </c>
    </row>
    <row r="14" spans="1:32" x14ac:dyDescent="0.3">
      <c r="A14" s="44">
        <v>42012</v>
      </c>
      <c r="B14" s="45" t="str">
        <f t="shared" si="0"/>
        <v>Qui</v>
      </c>
      <c r="C14" s="24"/>
      <c r="D14" s="46">
        <v>0.33333333333333298</v>
      </c>
      <c r="E14" s="46">
        <v>0.5</v>
      </c>
      <c r="F14" s="46">
        <v>0.55208333333333304</v>
      </c>
      <c r="G14" s="46">
        <v>0.75208333333333299</v>
      </c>
      <c r="I14" s="47">
        <f t="shared" si="1"/>
        <v>0.36666666666666697</v>
      </c>
      <c r="K14" s="48">
        <f>IF(C14&lt;&gt;"Falta Justificada",IF(VLOOKUP(B14,$Q$9:$V$15,6,0)&gt;(I14+Cadastro!$B$10),VLOOKUP(B14,$Q$9:$V$15,6,0)-I14,0),0)</f>
        <v>0</v>
      </c>
      <c r="M14" s="48">
        <f>IF(VLOOKUP(B14,$Q$9:$V$15,6,0)-(I14-Cadastro!$B$10)&lt;0,ABS(VLOOKUP(B14,$Q$9:$V$15,6,0)-I14),0)</f>
        <v>0</v>
      </c>
      <c r="O14" s="49"/>
      <c r="Q14" s="54" t="str">
        <f>PROPER(TEXT(6,"ddd"))</f>
        <v>Sex</v>
      </c>
      <c r="R14" s="46">
        <v>0.33333333333333298</v>
      </c>
      <c r="S14" s="56">
        <v>0.5</v>
      </c>
      <c r="T14" s="46">
        <v>0.55208333333333304</v>
      </c>
      <c r="U14" s="56">
        <v>0.75208333333333299</v>
      </c>
      <c r="V14" s="53">
        <f t="shared" si="6"/>
        <v>0.36666666666666697</v>
      </c>
      <c r="W14" s="53">
        <f t="shared" si="7"/>
        <v>5.2083333333333037E-2</v>
      </c>
      <c r="AB14" s="53">
        <f t="shared" si="2"/>
        <v>5.2083333333333037E-2</v>
      </c>
      <c r="AC14" s="53">
        <f t="shared" si="3"/>
        <v>0</v>
      </c>
      <c r="AD14" s="53">
        <f t="shared" si="4"/>
        <v>0</v>
      </c>
      <c r="AE14" s="53">
        <f t="shared" si="5"/>
        <v>0</v>
      </c>
    </row>
    <row r="15" spans="1:32" x14ac:dyDescent="0.3">
      <c r="A15" s="44">
        <v>42013</v>
      </c>
      <c r="B15" s="45" t="str">
        <f t="shared" si="0"/>
        <v>Sex</v>
      </c>
      <c r="C15" s="24"/>
      <c r="D15" s="46">
        <v>0.33333333333333298</v>
      </c>
      <c r="E15" s="46">
        <v>0.5</v>
      </c>
      <c r="F15" s="46">
        <v>0.55208333333333304</v>
      </c>
      <c r="G15" s="46">
        <v>0.75208333333333299</v>
      </c>
      <c r="I15" s="47">
        <f t="shared" si="1"/>
        <v>0.36666666666666697</v>
      </c>
      <c r="K15" s="48">
        <f>IF(C15&lt;&gt;"Falta Justificada",IF(VLOOKUP(B15,$Q$9:$V$15,6,0)&gt;(I15+Cadastro!$B$10),VLOOKUP(B15,$Q$9:$V$15,6,0)-I15,0),0)</f>
        <v>0</v>
      </c>
      <c r="M15" s="48">
        <f>IF(VLOOKUP(B15,$Q$9:$V$15,6,0)-(I15-Cadastro!$B$10)&lt;0,ABS(VLOOKUP(B15,$Q$9:$V$15,6,0)-I15),0)</f>
        <v>0</v>
      </c>
      <c r="O15" s="49"/>
      <c r="Q15" s="54" t="str">
        <f>PROPER(TEXT(7,"ddd"))</f>
        <v>Sáb</v>
      </c>
      <c r="R15" s="46">
        <v>0.33333333333333298</v>
      </c>
      <c r="S15" s="46">
        <v>0</v>
      </c>
      <c r="T15" s="46">
        <v>0</v>
      </c>
      <c r="U15" s="55">
        <v>0.5</v>
      </c>
      <c r="V15" s="53">
        <f t="shared" si="6"/>
        <v>0.16666666666666702</v>
      </c>
      <c r="W15" s="53">
        <f t="shared" si="7"/>
        <v>0</v>
      </c>
      <c r="AB15" s="53">
        <f t="shared" si="2"/>
        <v>5.2083333333333037E-2</v>
      </c>
      <c r="AC15" s="53">
        <f t="shared" si="3"/>
        <v>0</v>
      </c>
      <c r="AD15" s="53">
        <f t="shared" si="4"/>
        <v>0</v>
      </c>
      <c r="AE15" s="53">
        <f t="shared" si="5"/>
        <v>0</v>
      </c>
    </row>
    <row r="16" spans="1:32" x14ac:dyDescent="0.3">
      <c r="A16" s="44">
        <v>42014</v>
      </c>
      <c r="B16" s="45" t="str">
        <f t="shared" si="0"/>
        <v>Sáb</v>
      </c>
      <c r="C16" s="24" t="s">
        <v>46</v>
      </c>
      <c r="D16" s="46">
        <v>0.33333333333333298</v>
      </c>
      <c r="E16" s="46"/>
      <c r="F16" s="46"/>
      <c r="G16" s="46">
        <v>0.5</v>
      </c>
      <c r="I16" s="47">
        <f t="shared" si="1"/>
        <v>0.16666666666666702</v>
      </c>
      <c r="K16" s="48">
        <f>IF(C16&lt;&gt;"Falta Justificada",IF(VLOOKUP(B16,$Q$9:$V$15,6,0)&gt;(I16+Cadastro!$B$10),VLOOKUP(B16,$Q$9:$V$15,6,0)-I16,0),0)</f>
        <v>0</v>
      </c>
      <c r="M16" s="48">
        <f>IF(VLOOKUP(B16,$Q$9:$V$15,6,0)-(I16-Cadastro!$B$10)&lt;0,ABS(VLOOKUP(B16,$Q$9:$V$15,6,0)-I16),0)</f>
        <v>0</v>
      </c>
      <c r="O16" s="49"/>
      <c r="AB16" s="53">
        <f t="shared" si="2"/>
        <v>0</v>
      </c>
      <c r="AC16" s="53">
        <f t="shared" si="3"/>
        <v>0</v>
      </c>
      <c r="AD16" s="53">
        <f t="shared" si="4"/>
        <v>0</v>
      </c>
      <c r="AE16" s="53">
        <f t="shared" si="5"/>
        <v>0</v>
      </c>
    </row>
    <row r="17" spans="1:31" x14ac:dyDescent="0.3">
      <c r="A17" s="44">
        <v>42015</v>
      </c>
      <c r="B17" s="45" t="str">
        <f t="shared" si="0"/>
        <v>Dom</v>
      </c>
      <c r="C17" s="24"/>
      <c r="D17" s="46"/>
      <c r="E17" s="46"/>
      <c r="F17" s="46"/>
      <c r="G17" s="46"/>
      <c r="I17" s="47">
        <f t="shared" si="1"/>
        <v>0</v>
      </c>
      <c r="K17" s="48">
        <f>IF(C17&lt;&gt;"Falta Justificada",IF(VLOOKUP(B17,$Q$9:$V$15,6,0)&gt;(I17+Cadastro!$B$10),VLOOKUP(B17,$Q$9:$V$15,6,0)-I17,0),0)</f>
        <v>0</v>
      </c>
      <c r="M17" s="48">
        <f>IF(VLOOKUP(B17,$Q$9:$V$15,6,0)-(I17-Cadastro!$B$10)&lt;0,ABS(VLOOKUP(B17,$Q$9:$V$15,6,0)-I17),0)</f>
        <v>0</v>
      </c>
      <c r="O17" s="49"/>
      <c r="Q17" s="7" t="s">
        <v>47</v>
      </c>
      <c r="R17" s="7"/>
      <c r="S17" s="7"/>
      <c r="AB17" s="53">
        <f t="shared" si="2"/>
        <v>0</v>
      </c>
      <c r="AC17" s="53">
        <f t="shared" si="3"/>
        <v>0</v>
      </c>
      <c r="AD17" s="53">
        <f t="shared" si="4"/>
        <v>0</v>
      </c>
      <c r="AE17" s="53">
        <f t="shared" si="5"/>
        <v>0</v>
      </c>
    </row>
    <row r="18" spans="1:31" x14ac:dyDescent="0.3">
      <c r="A18" s="44">
        <v>42016</v>
      </c>
      <c r="B18" s="45" t="str">
        <f t="shared" si="0"/>
        <v>Seg</v>
      </c>
      <c r="C18" s="24" t="s">
        <v>39</v>
      </c>
      <c r="D18" s="46">
        <v>0.33333333333333298</v>
      </c>
      <c r="E18" s="46">
        <v>0.5</v>
      </c>
      <c r="F18" s="46">
        <v>0.55208333333333304</v>
      </c>
      <c r="G18" s="46">
        <v>0.79166666666666696</v>
      </c>
      <c r="I18" s="47">
        <f t="shared" si="1"/>
        <v>0.40625000000000094</v>
      </c>
      <c r="K18" s="48">
        <f>IF(C18&lt;&gt;"Falta Justificada",IF(VLOOKUP(B18,$Q$9:$V$15,6,0)&gt;(I18+Cadastro!$B$10),VLOOKUP(B18,$Q$9:$V$15,6,0)-I18,0),0)</f>
        <v>0</v>
      </c>
      <c r="M18" s="48">
        <f>IF(VLOOKUP(B18,$Q$9:$V$15,6,0)-(I18-Cadastro!$B$10)&lt;0,ABS(VLOOKUP(B18,$Q$9:$V$15,6,0)-I18),0)</f>
        <v>3.958333333333397E-2</v>
      </c>
      <c r="O18" s="49" t="s">
        <v>43</v>
      </c>
      <c r="Q18" s="6" t="s">
        <v>48</v>
      </c>
      <c r="R18" s="6"/>
      <c r="S18" s="57">
        <f>SUM(I:I)</f>
        <v>9.2361111111111214</v>
      </c>
      <c r="AB18" s="53">
        <f t="shared" si="2"/>
        <v>5.2083333333333037E-2</v>
      </c>
      <c r="AC18" s="53">
        <f t="shared" si="3"/>
        <v>0</v>
      </c>
      <c r="AD18" s="53">
        <f t="shared" si="4"/>
        <v>0</v>
      </c>
      <c r="AE18" s="53">
        <f t="shared" si="5"/>
        <v>0</v>
      </c>
    </row>
    <row r="19" spans="1:31" x14ac:dyDescent="0.3">
      <c r="A19" s="44">
        <v>42017</v>
      </c>
      <c r="B19" s="45" t="str">
        <f t="shared" si="0"/>
        <v>Ter</v>
      </c>
      <c r="C19" s="24" t="s">
        <v>39</v>
      </c>
      <c r="D19" s="46">
        <v>0.33333333333333298</v>
      </c>
      <c r="E19" s="46">
        <v>0.5</v>
      </c>
      <c r="F19" s="46">
        <v>0.55208333333333304</v>
      </c>
      <c r="G19" s="46">
        <v>0.75208333333333299</v>
      </c>
      <c r="I19" s="47">
        <f t="shared" si="1"/>
        <v>0.36666666666666697</v>
      </c>
      <c r="K19" s="48">
        <f>IF(C19&lt;&gt;"Falta Justificada",IF(VLOOKUP(B19,$Q$9:$V$15,6,0)&gt;(I19+Cadastro!$B$10),VLOOKUP(B19,$Q$9:$V$15,6,0)-I19,0),0)</f>
        <v>0</v>
      </c>
      <c r="M19" s="48">
        <f>IF(VLOOKUP(B19,$Q$9:$V$15,6,0)-(I19-Cadastro!$B$10)&lt;0,ABS(VLOOKUP(B19,$Q$9:$V$15,6,0)-I19),0)</f>
        <v>0</v>
      </c>
      <c r="O19" s="49"/>
      <c r="Q19" s="58" t="s">
        <v>36</v>
      </c>
      <c r="R19" s="58"/>
      <c r="S19" s="47">
        <f>SUM(K:K)</f>
        <v>0.28402777777777799</v>
      </c>
      <c r="AB19" s="53">
        <f t="shared" si="2"/>
        <v>5.2083333333333037E-2</v>
      </c>
      <c r="AC19" s="53">
        <f t="shared" si="3"/>
        <v>0</v>
      </c>
      <c r="AD19" s="53">
        <f t="shared" si="4"/>
        <v>0</v>
      </c>
      <c r="AE19" s="53">
        <f t="shared" si="5"/>
        <v>0</v>
      </c>
    </row>
    <row r="20" spans="1:31" x14ac:dyDescent="0.3">
      <c r="A20" s="44">
        <v>42018</v>
      </c>
      <c r="B20" s="45" t="str">
        <f t="shared" si="0"/>
        <v>Qua</v>
      </c>
      <c r="C20" s="24" t="s">
        <v>39</v>
      </c>
      <c r="D20" s="46">
        <v>0.33333333333333298</v>
      </c>
      <c r="E20" s="46">
        <v>0.5</v>
      </c>
      <c r="F20" s="46">
        <v>0.55208333333333304</v>
      </c>
      <c r="G20" s="46">
        <v>0.75208333333333299</v>
      </c>
      <c r="I20" s="47">
        <f t="shared" si="1"/>
        <v>0.36666666666666697</v>
      </c>
      <c r="K20" s="48">
        <f>IF(C20&lt;&gt;"Falta Justificada",IF(VLOOKUP(B20,$Q$9:$V$15,6,0)&gt;(I20+Cadastro!$B$10),VLOOKUP(B20,$Q$9:$V$15,6,0)-I20,0),0)</f>
        <v>0</v>
      </c>
      <c r="M20" s="48">
        <f>IF(VLOOKUP(B20,$Q$9:$V$15,6,0)-(I20-Cadastro!$B$10)&lt;0,ABS(VLOOKUP(B20,$Q$9:$V$15,6,0)-I20),0)</f>
        <v>0</v>
      </c>
      <c r="O20" s="49"/>
      <c r="Q20" s="58" t="s">
        <v>24</v>
      </c>
      <c r="R20" s="58"/>
      <c r="S20" s="47">
        <f>SUM(M:M)</f>
        <v>0.62013888888888857</v>
      </c>
      <c r="AB20" s="53">
        <f t="shared" si="2"/>
        <v>5.2083333333333037E-2</v>
      </c>
      <c r="AC20" s="53">
        <f t="shared" si="3"/>
        <v>0</v>
      </c>
      <c r="AD20" s="53">
        <f t="shared" si="4"/>
        <v>0</v>
      </c>
      <c r="AE20" s="53">
        <f t="shared" si="5"/>
        <v>0</v>
      </c>
    </row>
    <row r="21" spans="1:31" x14ac:dyDescent="0.3">
      <c r="A21" s="44">
        <v>42019</v>
      </c>
      <c r="B21" s="45" t="str">
        <f t="shared" si="0"/>
        <v>Qui</v>
      </c>
      <c r="C21" s="24" t="s">
        <v>39</v>
      </c>
      <c r="D21" s="46">
        <v>0.33333333333333298</v>
      </c>
      <c r="E21" s="46">
        <v>0.5</v>
      </c>
      <c r="F21" s="46">
        <v>0.55208333333333304</v>
      </c>
      <c r="G21" s="46">
        <v>0.75208333333333299</v>
      </c>
      <c r="I21" s="47">
        <f t="shared" si="1"/>
        <v>0.36666666666666697</v>
      </c>
      <c r="K21" s="48">
        <f>IF(C21&lt;&gt;"Falta Justificada",IF(VLOOKUP(B21,$Q$9:$V$15,6,0)&gt;(I21+Cadastro!$B$10),VLOOKUP(B21,$Q$9:$V$15,6,0)-I21,0),0)</f>
        <v>0</v>
      </c>
      <c r="M21" s="48">
        <f>IF(VLOOKUP(B21,$Q$9:$V$15,6,0)-(I21-Cadastro!$B$10)&lt;0,ABS(VLOOKUP(B21,$Q$9:$V$15,6,0)-I21),0)</f>
        <v>0</v>
      </c>
      <c r="O21" s="49"/>
      <c r="AB21" s="53">
        <f t="shared" si="2"/>
        <v>5.2083333333333037E-2</v>
      </c>
      <c r="AC21" s="53">
        <f t="shared" si="3"/>
        <v>0</v>
      </c>
      <c r="AD21" s="53">
        <f t="shared" si="4"/>
        <v>0</v>
      </c>
      <c r="AE21" s="53">
        <f t="shared" si="5"/>
        <v>0</v>
      </c>
    </row>
    <row r="22" spans="1:31" x14ac:dyDescent="0.3">
      <c r="A22" s="44">
        <v>42020</v>
      </c>
      <c r="B22" s="45" t="str">
        <f t="shared" si="0"/>
        <v>Sex</v>
      </c>
      <c r="C22" s="24" t="s">
        <v>39</v>
      </c>
      <c r="D22" s="46">
        <v>0.33333333333333298</v>
      </c>
      <c r="E22" s="46">
        <v>0.5</v>
      </c>
      <c r="F22" s="46">
        <v>0.55208333333333304</v>
      </c>
      <c r="G22" s="46">
        <v>0.75208333333333299</v>
      </c>
      <c r="I22" s="47">
        <f t="shared" si="1"/>
        <v>0.36666666666666697</v>
      </c>
      <c r="K22" s="48">
        <f>IF(C22&lt;&gt;"Falta Justificada",IF(VLOOKUP(B22,$Q$9:$V$15,6,0)&gt;(I22+Cadastro!$B$10),VLOOKUP(B22,$Q$9:$V$15,6,0)-I22,0),0)</f>
        <v>0</v>
      </c>
      <c r="M22" s="48">
        <f>IF(VLOOKUP(B22,$Q$9:$V$15,6,0)-(I22-Cadastro!$B$10)&lt;0,ABS(VLOOKUP(B22,$Q$9:$V$15,6,0)-I22),0)</f>
        <v>0</v>
      </c>
      <c r="O22" s="49"/>
      <c r="Q22" s="7" t="s">
        <v>49</v>
      </c>
      <c r="R22" s="7"/>
      <c r="S22" s="7"/>
      <c r="T22" s="7"/>
      <c r="U22" s="7"/>
      <c r="V22" s="7"/>
      <c r="W22" s="7"/>
      <c r="X22" s="7"/>
      <c r="Y22" s="7"/>
      <c r="AB22" s="53">
        <f t="shared" si="2"/>
        <v>5.2083333333333037E-2</v>
      </c>
      <c r="AC22" s="53">
        <f t="shared" si="3"/>
        <v>0</v>
      </c>
      <c r="AD22" s="53">
        <f t="shared" si="4"/>
        <v>0</v>
      </c>
      <c r="AE22" s="53">
        <f t="shared" si="5"/>
        <v>0</v>
      </c>
    </row>
    <row r="23" spans="1:31" x14ac:dyDescent="0.3">
      <c r="A23" s="44">
        <v>42021</v>
      </c>
      <c r="B23" s="45" t="str">
        <f t="shared" si="0"/>
        <v>Sáb</v>
      </c>
      <c r="C23" s="24" t="s">
        <v>39</v>
      </c>
      <c r="D23" s="46">
        <v>0.33333333333333298</v>
      </c>
      <c r="E23" s="46"/>
      <c r="F23" s="46"/>
      <c r="G23" s="46">
        <v>0.5</v>
      </c>
      <c r="I23" s="47">
        <f t="shared" si="1"/>
        <v>0.16666666666666702</v>
      </c>
      <c r="K23" s="48">
        <f>IF(C23&lt;&gt;"Falta Justificada",IF(VLOOKUP(B23,$Q$9:$V$15,6,0)&gt;(I23+Cadastro!$B$10),VLOOKUP(B23,$Q$9:$V$15,6,0)-I23,0),0)</f>
        <v>0</v>
      </c>
      <c r="M23" s="48">
        <f>IF(VLOOKUP(B23,$Q$9:$V$15,6,0)-(I23-Cadastro!$B$10)&lt;0,ABS(VLOOKUP(B23,$Q$9:$V$15,6,0)-I23),0)</f>
        <v>0</v>
      </c>
      <c r="O23" s="49"/>
      <c r="Q23" s="59" t="s">
        <v>30</v>
      </c>
      <c r="R23" s="60" t="s">
        <v>40</v>
      </c>
      <c r="S23" s="61" t="s">
        <v>50</v>
      </c>
      <c r="T23" s="60" t="s">
        <v>51</v>
      </c>
      <c r="U23" s="60" t="s">
        <v>52</v>
      </c>
      <c r="V23" s="61" t="s">
        <v>53</v>
      </c>
      <c r="W23" s="60" t="s">
        <v>54</v>
      </c>
      <c r="X23" s="60" t="s">
        <v>55</v>
      </c>
      <c r="Y23" s="61" t="s">
        <v>56</v>
      </c>
      <c r="AB23" s="53">
        <f t="shared" si="2"/>
        <v>0</v>
      </c>
      <c r="AC23" s="53">
        <f t="shared" si="3"/>
        <v>0</v>
      </c>
      <c r="AD23" s="53">
        <f t="shared" si="4"/>
        <v>0</v>
      </c>
      <c r="AE23" s="53">
        <f t="shared" si="5"/>
        <v>0</v>
      </c>
    </row>
    <row r="24" spans="1:31" x14ac:dyDescent="0.3">
      <c r="A24" s="44">
        <v>42022</v>
      </c>
      <c r="B24" s="45" t="str">
        <f t="shared" si="0"/>
        <v>Dom</v>
      </c>
      <c r="C24" s="24"/>
      <c r="D24" s="46"/>
      <c r="E24" s="46"/>
      <c r="F24" s="46"/>
      <c r="G24" s="46"/>
      <c r="I24" s="47">
        <f t="shared" si="1"/>
        <v>0</v>
      </c>
      <c r="K24" s="48">
        <f>IF(C24&lt;&gt;"Falta Justificada",IF(VLOOKUP(B24,$Q$9:$V$15,6,0)&gt;(I24+Cadastro!$B$10),VLOOKUP(B24,$Q$9:$V$15,6,0)-I24,0),0)</f>
        <v>0</v>
      </c>
      <c r="M24" s="48">
        <f>IF(VLOOKUP(B24,$Q$9:$V$15,6,0)-(I24-Cadastro!$B$10)&lt;0,ABS(VLOOKUP(B24,$Q$9:$V$15,6,0)-I24),0)</f>
        <v>0</v>
      </c>
      <c r="O24" s="49"/>
      <c r="Q24" s="62" t="s">
        <v>57</v>
      </c>
      <c r="R24" s="63">
        <f t="shared" ref="R24:R30" si="8">SUMIF($B$7:$B$37,Q24,$M$7:$M$37)</f>
        <v>0</v>
      </c>
      <c r="S24" s="64">
        <f>Cadastro!$B$4</f>
        <v>1</v>
      </c>
      <c r="T24" s="63">
        <f t="shared" ref="T24:T35" si="9">R24*(1+S24)</f>
        <v>0</v>
      </c>
      <c r="U24" s="63">
        <f t="shared" ref="U24:U30" si="10">SUMIFS($M:$M,$O:$O,"Banco de horas",$B:$B,Q24)*(1+S24)</f>
        <v>0</v>
      </c>
      <c r="V24" s="63">
        <f t="shared" ref="V24:V30" si="11">SUMIFS($M:$M,$O:$O,"Hora extra",$B:$B,Q24)*(1+S24)</f>
        <v>0</v>
      </c>
      <c r="W24" s="63">
        <f t="shared" ref="W24:W30" si="12">SUMIF($B$7:$B$37,Q24,$K$7:$K$37)</f>
        <v>0</v>
      </c>
      <c r="X24" s="63">
        <f t="shared" ref="X24:X30" si="13">SUMIFS($K:$K,$O:$O,"Banco de horas",$B:$B,Q24)</f>
        <v>0</v>
      </c>
      <c r="Y24" s="63">
        <f t="shared" ref="Y24:Y30" si="14">SUMIFS($K:$K,$O:$O,"Hora extra",$B:$B,Q24)</f>
        <v>0</v>
      </c>
      <c r="AB24" s="53">
        <f t="shared" si="2"/>
        <v>0</v>
      </c>
      <c r="AC24" s="53">
        <f t="shared" si="3"/>
        <v>0</v>
      </c>
      <c r="AD24" s="53">
        <f t="shared" si="4"/>
        <v>0</v>
      </c>
      <c r="AE24" s="53">
        <f t="shared" si="5"/>
        <v>0</v>
      </c>
    </row>
    <row r="25" spans="1:31" x14ac:dyDescent="0.3">
      <c r="A25" s="44">
        <v>42023</v>
      </c>
      <c r="B25" s="45" t="str">
        <f t="shared" si="0"/>
        <v>Seg</v>
      </c>
      <c r="C25" s="24" t="s">
        <v>39</v>
      </c>
      <c r="D25" s="46">
        <v>0.33333333333333298</v>
      </c>
      <c r="E25" s="46">
        <v>0.5</v>
      </c>
      <c r="F25" s="46">
        <v>0.55208333333333304</v>
      </c>
      <c r="G25" s="46">
        <v>0.75208333333333299</v>
      </c>
      <c r="I25" s="47">
        <f t="shared" si="1"/>
        <v>0.36666666666666697</v>
      </c>
      <c r="K25" s="48">
        <f>IF(C25&lt;&gt;"Falta Justificada",IF(VLOOKUP(B25,$Q$9:$V$15,6,0)&gt;(I25+Cadastro!$B$10),VLOOKUP(B25,$Q$9:$V$15,6,0)-I25,0),0)</f>
        <v>0</v>
      </c>
      <c r="M25" s="48">
        <f>IF(VLOOKUP(B25,$Q$9:$V$15,6,0)-(I25-Cadastro!$B$10)&lt;0,ABS(VLOOKUP(B25,$Q$9:$V$15,6,0)-I25),0)</f>
        <v>0</v>
      </c>
      <c r="O25" s="49"/>
      <c r="Q25" s="62" t="s">
        <v>58</v>
      </c>
      <c r="R25" s="63">
        <f t="shared" si="8"/>
        <v>3.958333333333397E-2</v>
      </c>
      <c r="S25" s="64">
        <f>Cadastro!$B$2</f>
        <v>0.25</v>
      </c>
      <c r="T25" s="63">
        <f t="shared" si="9"/>
        <v>4.9479166666667462E-2</v>
      </c>
      <c r="U25" s="63">
        <f t="shared" si="10"/>
        <v>4.9479166666667462E-2</v>
      </c>
      <c r="V25" s="63">
        <f t="shared" si="11"/>
        <v>0</v>
      </c>
      <c r="W25" s="63">
        <f t="shared" si="12"/>
        <v>0</v>
      </c>
      <c r="X25" s="63">
        <f t="shared" si="13"/>
        <v>0</v>
      </c>
      <c r="Y25" s="63">
        <f t="shared" si="14"/>
        <v>0</v>
      </c>
      <c r="AB25" s="53">
        <f t="shared" si="2"/>
        <v>5.2083333333333037E-2</v>
      </c>
      <c r="AC25" s="53">
        <f t="shared" si="3"/>
        <v>0</v>
      </c>
      <c r="AD25" s="53">
        <f t="shared" si="4"/>
        <v>0</v>
      </c>
      <c r="AE25" s="53">
        <f t="shared" si="5"/>
        <v>0</v>
      </c>
    </row>
    <row r="26" spans="1:31" x14ac:dyDescent="0.3">
      <c r="A26" s="44">
        <v>42024</v>
      </c>
      <c r="B26" s="45" t="str">
        <f t="shared" si="0"/>
        <v>Ter</v>
      </c>
      <c r="C26" s="24" t="s">
        <v>39</v>
      </c>
      <c r="D26" s="46">
        <v>0.33333333333333298</v>
      </c>
      <c r="E26" s="46">
        <v>0.5</v>
      </c>
      <c r="F26" s="46">
        <v>0.55208333333333304</v>
      </c>
      <c r="G26" s="46">
        <v>0.75208333333333299</v>
      </c>
      <c r="I26" s="47">
        <f t="shared" si="1"/>
        <v>0.36666666666666697</v>
      </c>
      <c r="K26" s="48">
        <f>IF(C26&lt;&gt;"Falta Justificada",IF(VLOOKUP(B26,$Q$9:$V$15,6,0)&gt;(I26+Cadastro!$B$10),VLOOKUP(B26,$Q$9:$V$15,6,0)-I26,0),0)</f>
        <v>0</v>
      </c>
      <c r="M26" s="48">
        <f>IF(VLOOKUP(B26,$Q$9:$V$15,6,0)-(I26-Cadastro!$B$10)&lt;0,ABS(VLOOKUP(B26,$Q$9:$V$15,6,0)-I26),0)</f>
        <v>0</v>
      </c>
      <c r="O26" s="49"/>
      <c r="Q26" s="62" t="s">
        <v>59</v>
      </c>
      <c r="R26" s="63">
        <f t="shared" si="8"/>
        <v>0</v>
      </c>
      <c r="S26" s="64">
        <f>Cadastro!$B$2</f>
        <v>0.25</v>
      </c>
      <c r="T26" s="63">
        <f t="shared" si="9"/>
        <v>0</v>
      </c>
      <c r="U26" s="63">
        <f t="shared" si="10"/>
        <v>0</v>
      </c>
      <c r="V26" s="63">
        <f t="shared" si="11"/>
        <v>0</v>
      </c>
      <c r="W26" s="63">
        <f t="shared" si="12"/>
        <v>0</v>
      </c>
      <c r="X26" s="63">
        <f t="shared" si="13"/>
        <v>0</v>
      </c>
      <c r="Y26" s="63">
        <f t="shared" si="14"/>
        <v>0</v>
      </c>
      <c r="AB26" s="53">
        <f t="shared" si="2"/>
        <v>5.2083333333333037E-2</v>
      </c>
      <c r="AC26" s="53">
        <f t="shared" si="3"/>
        <v>0</v>
      </c>
      <c r="AD26" s="53">
        <f t="shared" si="4"/>
        <v>0</v>
      </c>
      <c r="AE26" s="53">
        <f t="shared" si="5"/>
        <v>0</v>
      </c>
    </row>
    <row r="27" spans="1:31" x14ac:dyDescent="0.3">
      <c r="A27" s="44">
        <v>42025</v>
      </c>
      <c r="B27" s="45" t="str">
        <f t="shared" si="0"/>
        <v>Qua</v>
      </c>
      <c r="C27" s="24" t="s">
        <v>39</v>
      </c>
      <c r="D27" s="46">
        <v>0.33333333333333298</v>
      </c>
      <c r="E27" s="46">
        <v>0.5</v>
      </c>
      <c r="F27" s="46">
        <v>0.55208333333333304</v>
      </c>
      <c r="G27" s="46">
        <v>0.75208333333333299</v>
      </c>
      <c r="I27" s="47">
        <f t="shared" si="1"/>
        <v>0.36666666666666697</v>
      </c>
      <c r="K27" s="48">
        <f>IF(C27&lt;&gt;"Falta Justificada",IF(VLOOKUP(B27,$Q$9:$V$15,6,0)&gt;(I27+Cadastro!$B$10),VLOOKUP(B27,$Q$9:$V$15,6,0)-I27,0),0)</f>
        <v>0</v>
      </c>
      <c r="M27" s="48">
        <f>IF(VLOOKUP(B27,$Q$9:$V$15,6,0)-(I27-Cadastro!$B$10)&lt;0,ABS(VLOOKUP(B27,$Q$9:$V$15,6,0)-I27),0)</f>
        <v>0</v>
      </c>
      <c r="O27" s="49"/>
      <c r="Q27" s="62" t="s">
        <v>60</v>
      </c>
      <c r="R27" s="63">
        <f t="shared" si="8"/>
        <v>0</v>
      </c>
      <c r="S27" s="64">
        <f>Cadastro!$B$2</f>
        <v>0.25</v>
      </c>
      <c r="T27" s="63">
        <f t="shared" si="9"/>
        <v>0</v>
      </c>
      <c r="U27" s="63">
        <f t="shared" si="10"/>
        <v>0</v>
      </c>
      <c r="V27" s="63">
        <f t="shared" si="11"/>
        <v>0</v>
      </c>
      <c r="W27" s="63">
        <f t="shared" si="12"/>
        <v>0.10624999999999996</v>
      </c>
      <c r="X27" s="63">
        <f t="shared" si="13"/>
        <v>0.10624999999999996</v>
      </c>
      <c r="Y27" s="63">
        <f t="shared" si="14"/>
        <v>0</v>
      </c>
      <c r="AB27" s="53">
        <f t="shared" si="2"/>
        <v>5.2083333333333037E-2</v>
      </c>
      <c r="AC27" s="53">
        <f t="shared" si="3"/>
        <v>0</v>
      </c>
      <c r="AD27" s="53">
        <f t="shared" si="4"/>
        <v>0</v>
      </c>
      <c r="AE27" s="53">
        <f t="shared" si="5"/>
        <v>0</v>
      </c>
    </row>
    <row r="28" spans="1:31" x14ac:dyDescent="0.3">
      <c r="A28" s="44">
        <v>42026</v>
      </c>
      <c r="B28" s="45" t="str">
        <f t="shared" si="0"/>
        <v>Qui</v>
      </c>
      <c r="C28" s="24" t="s">
        <v>39</v>
      </c>
      <c r="D28" s="46">
        <v>0.33333333333333298</v>
      </c>
      <c r="E28" s="46">
        <v>0.5</v>
      </c>
      <c r="F28" s="46">
        <v>0.55208333333333304</v>
      </c>
      <c r="G28" s="46">
        <v>0.75208333333333299</v>
      </c>
      <c r="I28" s="47">
        <f t="shared" si="1"/>
        <v>0.36666666666666697</v>
      </c>
      <c r="K28" s="48">
        <f>IF(C28&lt;&gt;"Falta Justificada",IF(VLOOKUP(B28,$Q$9:$V$15,6,0)&gt;(I28+Cadastro!$B$10),VLOOKUP(B28,$Q$9:$V$15,6,0)-I28,0),0)</f>
        <v>0</v>
      </c>
      <c r="M28" s="48">
        <f>IF(VLOOKUP(B28,$Q$9:$V$15,6,0)-(I28-Cadastro!$B$10)&lt;0,ABS(VLOOKUP(B28,$Q$9:$V$15,6,0)-I28),0)</f>
        <v>0</v>
      </c>
      <c r="O28" s="49"/>
      <c r="Q28" s="62" t="s">
        <v>61</v>
      </c>
      <c r="R28" s="63">
        <f t="shared" si="8"/>
        <v>0.5805555555555546</v>
      </c>
      <c r="S28" s="64">
        <f>Cadastro!$B$2</f>
        <v>0.25</v>
      </c>
      <c r="T28" s="63">
        <f t="shared" si="9"/>
        <v>0.72569444444444331</v>
      </c>
      <c r="U28" s="63">
        <f t="shared" si="10"/>
        <v>0</v>
      </c>
      <c r="V28" s="63">
        <f t="shared" si="11"/>
        <v>0.72569444444444331</v>
      </c>
      <c r="W28" s="63">
        <f t="shared" si="12"/>
        <v>0</v>
      </c>
      <c r="X28" s="63">
        <f t="shared" si="13"/>
        <v>0</v>
      </c>
      <c r="Y28" s="63">
        <f t="shared" si="14"/>
        <v>0</v>
      </c>
      <c r="AB28" s="53">
        <f t="shared" si="2"/>
        <v>5.2083333333333037E-2</v>
      </c>
      <c r="AC28" s="53">
        <f t="shared" si="3"/>
        <v>0</v>
      </c>
      <c r="AD28" s="53">
        <f t="shared" si="4"/>
        <v>0</v>
      </c>
      <c r="AE28" s="53">
        <f t="shared" si="5"/>
        <v>0</v>
      </c>
    </row>
    <row r="29" spans="1:31" x14ac:dyDescent="0.3">
      <c r="A29" s="44">
        <v>42027</v>
      </c>
      <c r="B29" s="45" t="str">
        <f t="shared" si="0"/>
        <v>Sex</v>
      </c>
      <c r="C29" s="24" t="s">
        <v>39</v>
      </c>
      <c r="D29" s="46">
        <v>0.33333333333333298</v>
      </c>
      <c r="E29" s="46">
        <v>0.5</v>
      </c>
      <c r="F29" s="46">
        <v>0.55208333333333304</v>
      </c>
      <c r="G29" s="46">
        <v>0.75208333333333299</v>
      </c>
      <c r="I29" s="47">
        <f t="shared" si="1"/>
        <v>0.36666666666666697</v>
      </c>
      <c r="K29" s="48">
        <f>IF(C29&lt;&gt;"Falta Justificada",IF(VLOOKUP(B29,$Q$9:$V$15,6,0)&gt;(I29+Cadastro!$B$10),VLOOKUP(B29,$Q$9:$V$15,6,0)-I29,0),0)</f>
        <v>0</v>
      </c>
      <c r="M29" s="48">
        <f>IF(VLOOKUP(B29,$Q$9:$V$15,6,0)-(I29-Cadastro!$B$10)&lt;0,ABS(VLOOKUP(B29,$Q$9:$V$15,6,0)-I29),0)</f>
        <v>0</v>
      </c>
      <c r="O29" s="49"/>
      <c r="Q29" s="62" t="s">
        <v>62</v>
      </c>
      <c r="R29" s="63">
        <f t="shared" si="8"/>
        <v>0</v>
      </c>
      <c r="S29" s="64">
        <f>Cadastro!$B$2</f>
        <v>0.25</v>
      </c>
      <c r="T29" s="63">
        <f t="shared" si="9"/>
        <v>0</v>
      </c>
      <c r="U29" s="63">
        <f t="shared" si="10"/>
        <v>0</v>
      </c>
      <c r="V29" s="63">
        <f t="shared" si="11"/>
        <v>0</v>
      </c>
      <c r="W29" s="63">
        <f t="shared" si="12"/>
        <v>1.1111111111111016E-2</v>
      </c>
      <c r="X29" s="63">
        <f t="shared" si="13"/>
        <v>1.1111111111111016E-2</v>
      </c>
      <c r="Y29" s="63">
        <f t="shared" si="14"/>
        <v>0</v>
      </c>
      <c r="AB29" s="53">
        <f t="shared" si="2"/>
        <v>5.2083333333333037E-2</v>
      </c>
      <c r="AC29" s="53">
        <f t="shared" si="3"/>
        <v>0</v>
      </c>
      <c r="AD29" s="53">
        <f t="shared" si="4"/>
        <v>0</v>
      </c>
      <c r="AE29" s="53">
        <f t="shared" si="5"/>
        <v>0</v>
      </c>
    </row>
    <row r="30" spans="1:31" x14ac:dyDescent="0.3">
      <c r="A30" s="44">
        <v>42028</v>
      </c>
      <c r="B30" s="45" t="str">
        <f t="shared" si="0"/>
        <v>Sáb</v>
      </c>
      <c r="C30" s="24" t="s">
        <v>39</v>
      </c>
      <c r="D30" s="46">
        <v>0.33333333333333298</v>
      </c>
      <c r="E30" s="46"/>
      <c r="F30" s="46"/>
      <c r="G30" s="46">
        <v>0.5</v>
      </c>
      <c r="I30" s="47">
        <f t="shared" si="1"/>
        <v>0.16666666666666702</v>
      </c>
      <c r="K30" s="48">
        <f>IF(C30&lt;&gt;"Falta Justificada",IF(VLOOKUP(B30,$Q$9:$V$15,6,0)&gt;(I30+Cadastro!$B$10),VLOOKUP(B30,$Q$9:$V$15,6,0)-I30,0),0)</f>
        <v>0</v>
      </c>
      <c r="M30" s="48">
        <f>IF(VLOOKUP(B30,$Q$9:$V$15,6,0)-(I30-Cadastro!$B$10)&lt;0,ABS(VLOOKUP(B30,$Q$9:$V$15,6,0)-I30),0)</f>
        <v>0</v>
      </c>
      <c r="O30" s="49"/>
      <c r="Q30" s="62" t="s">
        <v>63</v>
      </c>
      <c r="R30" s="63">
        <f t="shared" si="8"/>
        <v>0</v>
      </c>
      <c r="S30" s="64">
        <f>Cadastro!$B$3</f>
        <v>0.4</v>
      </c>
      <c r="T30" s="63">
        <f t="shared" si="9"/>
        <v>0</v>
      </c>
      <c r="U30" s="63">
        <f t="shared" si="10"/>
        <v>0</v>
      </c>
      <c r="V30" s="63">
        <f t="shared" si="11"/>
        <v>0</v>
      </c>
      <c r="W30" s="63">
        <f t="shared" si="12"/>
        <v>0.16666666666666702</v>
      </c>
      <c r="X30" s="63">
        <f t="shared" si="13"/>
        <v>0</v>
      </c>
      <c r="Y30" s="63">
        <f t="shared" si="14"/>
        <v>0</v>
      </c>
      <c r="AB30" s="53">
        <f t="shared" si="2"/>
        <v>0</v>
      </c>
      <c r="AC30" s="53">
        <f t="shared" si="3"/>
        <v>0</v>
      </c>
      <c r="AD30" s="53">
        <f t="shared" si="4"/>
        <v>0</v>
      </c>
      <c r="AE30" s="53">
        <f t="shared" si="5"/>
        <v>0</v>
      </c>
    </row>
    <row r="31" spans="1:31" x14ac:dyDescent="0.3">
      <c r="A31" s="44">
        <v>42029</v>
      </c>
      <c r="B31" s="45" t="str">
        <f t="shared" si="0"/>
        <v>Dom</v>
      </c>
      <c r="C31" s="24"/>
      <c r="D31" s="46"/>
      <c r="E31" s="46"/>
      <c r="F31" s="46"/>
      <c r="G31" s="46"/>
      <c r="I31" s="47">
        <f t="shared" si="1"/>
        <v>0</v>
      </c>
      <c r="K31" s="48">
        <f>IF(C31&lt;&gt;"Falta Justificada",IF(VLOOKUP(B31,$Q$9:$V$15,6,0)&gt;(I31+Cadastro!$B$10),VLOOKUP(B31,$Q$9:$V$15,6,0)-I31,0),0)</f>
        <v>0</v>
      </c>
      <c r="M31" s="48">
        <f>IF(VLOOKUP(B31,$Q$9:$V$15,6,0)-(I31-Cadastro!$B$10)&lt;0,ABS(VLOOKUP(B31,$Q$9:$V$15,6,0)-I31),0)</f>
        <v>0</v>
      </c>
      <c r="O31" s="49"/>
      <c r="Q31" s="62" t="s">
        <v>42</v>
      </c>
      <c r="R31" s="63">
        <f>SUMIF($C:$C,Q31,I:I)</f>
        <v>0.35555555555555596</v>
      </c>
      <c r="S31" s="64">
        <f>Cadastro!$B$7</f>
        <v>1</v>
      </c>
      <c r="T31" s="63">
        <f t="shared" si="9"/>
        <v>0.71111111111111192</v>
      </c>
      <c r="U31" s="63">
        <f>SUMIFS($I:$I,$O:$O,"Banco de horas",$C:$C,Q31)*(1+S31)</f>
        <v>0.71111111111111192</v>
      </c>
      <c r="V31" s="63">
        <f>SUMIFS($I:$I,$O:$O,"Hora extra",$C:$C,Q31)*(1+S31)</f>
        <v>0</v>
      </c>
      <c r="W31" s="65"/>
      <c r="X31" s="65"/>
      <c r="Y31" s="65"/>
      <c r="AB31" s="53">
        <f t="shared" si="2"/>
        <v>0</v>
      </c>
      <c r="AC31" s="53">
        <f t="shared" si="3"/>
        <v>0</v>
      </c>
      <c r="AD31" s="53">
        <f t="shared" si="4"/>
        <v>0</v>
      </c>
      <c r="AE31" s="53">
        <f t="shared" si="5"/>
        <v>0</v>
      </c>
    </row>
    <row r="32" spans="1:31" x14ac:dyDescent="0.3">
      <c r="A32" s="44">
        <v>42030</v>
      </c>
      <c r="B32" s="45" t="str">
        <f t="shared" si="0"/>
        <v>Seg</v>
      </c>
      <c r="C32" s="24" t="s">
        <v>39</v>
      </c>
      <c r="D32" s="46">
        <v>0.33333333333333298</v>
      </c>
      <c r="E32" s="46">
        <v>0.5</v>
      </c>
      <c r="F32" s="46">
        <v>0.55208333333333304</v>
      </c>
      <c r="G32" s="46">
        <v>0.75208333333333299</v>
      </c>
      <c r="I32" s="47">
        <f t="shared" si="1"/>
        <v>0.36666666666666697</v>
      </c>
      <c r="K32" s="48">
        <f>IF(C32&lt;&gt;"Falta Justificada",IF(VLOOKUP(B32,$Q$9:$V$15,6,0)&gt;(I32+Cadastro!$B$10),VLOOKUP(B32,$Q$9:$V$15,6,0)-I32,0),0)</f>
        <v>0</v>
      </c>
      <c r="M32" s="48">
        <f>IF(VLOOKUP(B32,$Q$9:$V$15,6,0)-(I32-Cadastro!$B$10)&lt;0,ABS(VLOOKUP(B32,$Q$9:$V$15,6,0)-I32),0)</f>
        <v>0</v>
      </c>
      <c r="O32" s="49"/>
      <c r="Q32" s="62" t="s">
        <v>46</v>
      </c>
      <c r="R32" s="63">
        <f>SUMIF($C:$C,Q32,I:I)</f>
        <v>0.16666666666666702</v>
      </c>
      <c r="S32" s="64">
        <f>Cadastro!$B$6</f>
        <v>0.5</v>
      </c>
      <c r="T32" s="63">
        <f t="shared" si="9"/>
        <v>0.25000000000000056</v>
      </c>
      <c r="U32" s="63">
        <f>SUMIFS($I:$I,$O:$O,"Banco de horas",$C:$C,Q32)*(1+S32)</f>
        <v>0</v>
      </c>
      <c r="V32" s="63">
        <f>SUMIFS($I:$I,$O:$O,"Hora extra",$C:$C,Q32)*(1+S32)</f>
        <v>0</v>
      </c>
      <c r="AB32" s="53">
        <f t="shared" si="2"/>
        <v>5.2083333333333037E-2</v>
      </c>
      <c r="AC32" s="53">
        <f t="shared" si="3"/>
        <v>0</v>
      </c>
      <c r="AD32" s="53">
        <f t="shared" si="4"/>
        <v>0</v>
      </c>
      <c r="AE32" s="53">
        <f t="shared" si="5"/>
        <v>0</v>
      </c>
    </row>
    <row r="33" spans="1:31" x14ac:dyDescent="0.3">
      <c r="A33" s="44">
        <v>42031</v>
      </c>
      <c r="B33" s="45" t="str">
        <f t="shared" si="0"/>
        <v>Ter</v>
      </c>
      <c r="C33" s="24" t="s">
        <v>39</v>
      </c>
      <c r="D33" s="46">
        <v>0.33333333333333298</v>
      </c>
      <c r="E33" s="46">
        <v>0.5</v>
      </c>
      <c r="F33" s="46">
        <v>0.55208333333333304</v>
      </c>
      <c r="G33" s="46">
        <v>0.75208333333333299</v>
      </c>
      <c r="I33" s="47">
        <f t="shared" si="1"/>
        <v>0.36666666666666697</v>
      </c>
      <c r="K33" s="48">
        <f>IF(C33&lt;&gt;"Falta Justificada",IF(VLOOKUP(B33,$Q$9:$V$15,6,0)&gt;(I33+Cadastro!$B$10),VLOOKUP(B33,$Q$9:$V$15,6,0)-I33,0),0)</f>
        <v>0</v>
      </c>
      <c r="M33" s="48">
        <f>IF(VLOOKUP(B33,$Q$9:$V$15,6,0)-(I33-Cadastro!$B$10)&lt;0,ABS(VLOOKUP(B33,$Q$9:$V$15,6,0)-I33),0)</f>
        <v>0</v>
      </c>
      <c r="O33" s="49"/>
      <c r="Q33" s="62" t="s">
        <v>15</v>
      </c>
      <c r="R33" s="63">
        <f>SUM(AC:AC)-$AC$5</f>
        <v>3.1249999999999736E-2</v>
      </c>
      <c r="S33" s="64">
        <f>Cadastro!$B$9</f>
        <v>0.3</v>
      </c>
      <c r="T33" s="63">
        <f t="shared" si="9"/>
        <v>4.0624999999999661E-2</v>
      </c>
      <c r="U33" s="63">
        <f>SUMIF($O:$O,"Banco de horas",$AC:$AC)*(1+$S$33)</f>
        <v>0</v>
      </c>
      <c r="V33" s="63">
        <f>SUMIF($O:$O,"Hora extra",$AC:$AC)*(1+$S$33)</f>
        <v>4.0624999999999661E-2</v>
      </c>
      <c r="AB33" s="53">
        <f t="shared" si="2"/>
        <v>5.2083333333333037E-2</v>
      </c>
      <c r="AC33" s="53">
        <f t="shared" si="3"/>
        <v>0</v>
      </c>
      <c r="AD33" s="53">
        <f t="shared" si="4"/>
        <v>0</v>
      </c>
      <c r="AE33" s="53">
        <f t="shared" si="5"/>
        <v>0</v>
      </c>
    </row>
    <row r="34" spans="1:31" x14ac:dyDescent="0.3">
      <c r="A34" s="44">
        <v>42032</v>
      </c>
      <c r="B34" s="45" t="str">
        <f t="shared" si="0"/>
        <v>Qua</v>
      </c>
      <c r="C34" s="24" t="s">
        <v>39</v>
      </c>
      <c r="D34" s="46">
        <v>0.33333333333333298</v>
      </c>
      <c r="E34" s="46">
        <v>0.5</v>
      </c>
      <c r="F34" s="46">
        <v>0.55208333333333304</v>
      </c>
      <c r="G34" s="46">
        <v>0.75208333333333299</v>
      </c>
      <c r="I34" s="47">
        <f t="shared" si="1"/>
        <v>0.36666666666666697</v>
      </c>
      <c r="K34" s="48">
        <f>IF(C34&lt;&gt;"Falta Justificada",IF(VLOOKUP(B34,$Q$9:$V$15,6,0)&gt;(I34+Cadastro!$B$10),VLOOKUP(B34,$Q$9:$V$15,6,0)-I34,0),0)</f>
        <v>0</v>
      </c>
      <c r="M34" s="48">
        <f>IF(VLOOKUP(B34,$Q$9:$V$15,6,0)-(I34-Cadastro!$B$10)&lt;0,ABS(VLOOKUP(B34,$Q$9:$V$15,6,0)-I34),0)</f>
        <v>0</v>
      </c>
      <c r="O34" s="49"/>
      <c r="Q34" s="62" t="s">
        <v>14</v>
      </c>
      <c r="R34" s="63">
        <f>SUM(AD:AD)-$AD$5</f>
        <v>0.41597222222222158</v>
      </c>
      <c r="S34" s="64">
        <f>Cadastro!B8</f>
        <v>0.3</v>
      </c>
      <c r="T34" s="63">
        <f t="shared" si="9"/>
        <v>0.54076388888888804</v>
      </c>
      <c r="U34" s="63">
        <f>SUMIF($O:$O,"Banco de horas",$AD:$AD)*(1+$S$34)</f>
        <v>0</v>
      </c>
      <c r="V34" s="63">
        <f>SUMIF($O:$O,"Hora extra",$AD:$AD)*(1+$S$34)</f>
        <v>0.54076388888888804</v>
      </c>
      <c r="AB34" s="53">
        <f t="shared" si="2"/>
        <v>5.2083333333333037E-2</v>
      </c>
      <c r="AC34" s="53">
        <f t="shared" si="3"/>
        <v>0</v>
      </c>
      <c r="AD34" s="53">
        <f t="shared" si="4"/>
        <v>0</v>
      </c>
      <c r="AE34" s="53">
        <f t="shared" si="5"/>
        <v>0</v>
      </c>
    </row>
    <row r="35" spans="1:31" x14ac:dyDescent="0.3">
      <c r="A35" s="44">
        <v>42033</v>
      </c>
      <c r="B35" s="45" t="str">
        <f t="shared" si="0"/>
        <v>Qui</v>
      </c>
      <c r="C35" s="24" t="s">
        <v>39</v>
      </c>
      <c r="D35" s="46">
        <v>0.33333333333333298</v>
      </c>
      <c r="E35" s="46">
        <v>0.5</v>
      </c>
      <c r="F35" s="46">
        <v>0.55208333333333304</v>
      </c>
      <c r="G35" s="46">
        <v>0.75208333333333299</v>
      </c>
      <c r="I35" s="47">
        <f t="shared" si="1"/>
        <v>0.36666666666666697</v>
      </c>
      <c r="K35" s="48">
        <f>IF(C35&lt;&gt;"Falta Justificada",IF(VLOOKUP(B35,$Q$9:$V$15,6,0)&gt;(I35+Cadastro!$B$10),VLOOKUP(B35,$Q$9:$V$15,6,0)-I35,0),0)</f>
        <v>0</v>
      </c>
      <c r="M35" s="48">
        <f>IF(VLOOKUP(B35,$Q$9:$V$15,6,0)-(I35-Cadastro!$B$10)&lt;0,ABS(VLOOKUP(B35,$Q$9:$V$15,6,0)-I35),0)</f>
        <v>0</v>
      </c>
      <c r="O35" s="49"/>
      <c r="Q35" s="62" t="s">
        <v>11</v>
      </c>
      <c r="R35" s="63">
        <f>SUM(AE:AE)-SUM(AE4:AE5)</f>
        <v>0.24930555555555456</v>
      </c>
      <c r="S35" s="64">
        <f>Cadastro!B5</f>
        <v>0.5</v>
      </c>
      <c r="T35" s="63">
        <f t="shared" si="9"/>
        <v>0.37395833333333184</v>
      </c>
      <c r="U35" s="63">
        <f>SUMIF($O:$O,"Banco de horas",$AE:$AE)*(1+$S$35)</f>
        <v>0</v>
      </c>
      <c r="V35" s="63">
        <f>SUMIF($O:$O,"Hora extra",$AE:$AE)*(1+$S$35)</f>
        <v>0.37395833333333195</v>
      </c>
      <c r="AB35" s="53">
        <f t="shared" si="2"/>
        <v>5.2083333333333037E-2</v>
      </c>
      <c r="AC35" s="53">
        <f t="shared" si="3"/>
        <v>0</v>
      </c>
      <c r="AD35" s="53">
        <f t="shared" si="4"/>
        <v>0</v>
      </c>
      <c r="AE35" s="53">
        <f t="shared" si="5"/>
        <v>0</v>
      </c>
    </row>
    <row r="36" spans="1:31" x14ac:dyDescent="0.3">
      <c r="A36" s="44">
        <v>42034</v>
      </c>
      <c r="B36" s="45" t="str">
        <f t="shared" si="0"/>
        <v>Sex</v>
      </c>
      <c r="C36" s="24" t="s">
        <v>39</v>
      </c>
      <c r="D36" s="46">
        <v>0.33333333333333298</v>
      </c>
      <c r="E36" s="46">
        <v>0.5</v>
      </c>
      <c r="F36" s="46">
        <v>0.55208333333333304</v>
      </c>
      <c r="G36" s="46">
        <v>0.75208333333333299</v>
      </c>
      <c r="I36" s="47">
        <f t="shared" si="1"/>
        <v>0.36666666666666697</v>
      </c>
      <c r="K36" s="48">
        <f>IF(C36&lt;&gt;"Falta Justificada",IF(VLOOKUP(B36,$Q$9:$V$15,6,0)&gt;(I36+Cadastro!$B$10),VLOOKUP(B36,$Q$9:$V$15,6,0)-I36,0),0)</f>
        <v>0</v>
      </c>
      <c r="M36" s="48">
        <f>IF(VLOOKUP(B36,$Q$9:$V$15,6,0)-(I36-Cadastro!$B$10)&lt;0,ABS(VLOOKUP(B36,$Q$9:$V$15,6,0)-I36),0)</f>
        <v>0</v>
      </c>
      <c r="O36" s="49"/>
      <c r="AB36" s="53">
        <f t="shared" si="2"/>
        <v>5.2083333333333037E-2</v>
      </c>
      <c r="AC36" s="53">
        <f t="shared" si="3"/>
        <v>0</v>
      </c>
      <c r="AD36" s="53">
        <f t="shared" si="4"/>
        <v>0</v>
      </c>
      <c r="AE36" s="53">
        <f t="shared" si="5"/>
        <v>0</v>
      </c>
    </row>
    <row r="37" spans="1:31" x14ac:dyDescent="0.3">
      <c r="A37" s="44">
        <v>42035</v>
      </c>
      <c r="B37" s="45" t="str">
        <f t="shared" si="0"/>
        <v>Sáb</v>
      </c>
      <c r="C37" s="24" t="s">
        <v>39</v>
      </c>
      <c r="D37" s="46">
        <v>0.33333333333333298</v>
      </c>
      <c r="E37" s="46"/>
      <c r="F37" s="46"/>
      <c r="G37" s="46">
        <v>0.5</v>
      </c>
      <c r="I37" s="47">
        <f t="shared" si="1"/>
        <v>0.16666666666666702</v>
      </c>
      <c r="K37" s="48">
        <f>IF(C37&lt;&gt;"Falta Justificada",IF(VLOOKUP(B37,$Q$9:$V$15,6,0)&gt;(I37+Cadastro!$B$10),VLOOKUP(B37,$Q$9:$V$15,6,0)-I37,0),0)</f>
        <v>0</v>
      </c>
      <c r="M37" s="48">
        <f>IF(VLOOKUP(B37,$Q$9:$V$15,6,0)-(I37-Cadastro!$B$10)&lt;0,ABS(VLOOKUP(B37,$Q$9:$V$15,6,0)-I37),0)</f>
        <v>0</v>
      </c>
      <c r="O37" s="49"/>
      <c r="AB37" s="53">
        <f t="shared" si="2"/>
        <v>0</v>
      </c>
      <c r="AC37" s="53">
        <f t="shared" si="3"/>
        <v>0</v>
      </c>
      <c r="AD37" s="53">
        <f t="shared" si="4"/>
        <v>0</v>
      </c>
      <c r="AE37" s="53">
        <f t="shared" si="5"/>
        <v>0</v>
      </c>
    </row>
    <row r="39" spans="1:31" x14ac:dyDescent="0.3">
      <c r="A39" s="66"/>
      <c r="C39" s="66"/>
      <c r="E39" s="66"/>
      <c r="G39" s="66"/>
      <c r="I39" s="66"/>
      <c r="K39" s="66"/>
      <c r="M39" s="66"/>
      <c r="O39" s="66"/>
      <c r="Q39" s="66"/>
      <c r="S39" s="66"/>
      <c r="U39" s="66"/>
    </row>
  </sheetData>
  <mergeCells count="10">
    <mergeCell ref="Q7:W7"/>
    <mergeCell ref="S8:T8"/>
    <mergeCell ref="Q17:S17"/>
    <mergeCell ref="Q18:R18"/>
    <mergeCell ref="Q22:Y22"/>
    <mergeCell ref="M1:O1"/>
    <mergeCell ref="M2:N2"/>
    <mergeCell ref="M3:N3"/>
    <mergeCell ref="A6:B6"/>
    <mergeCell ref="E6:F6"/>
  </mergeCells>
  <conditionalFormatting sqref="B7:B37">
    <cfRule type="expression" dxfId="37" priority="2">
      <formula>IF(OR(B7="Sáb",B7="Dom"),1,0)=1</formula>
    </cfRule>
  </conditionalFormatting>
  <conditionalFormatting sqref="I7:M37">
    <cfRule type="cellIs" dxfId="36" priority="3" operator="equal">
      <formula>0</formula>
    </cfRule>
  </conditionalFormatting>
  <conditionalFormatting sqref="M7:M37">
    <cfRule type="cellIs" dxfId="35" priority="4" operator="greaterThan">
      <formula>0</formula>
    </cfRule>
  </conditionalFormatting>
  <conditionalFormatting sqref="K7:K37">
    <cfRule type="cellIs" dxfId="34" priority="5" operator="greaterThan">
      <formula>0</formula>
    </cfRule>
  </conditionalFormatting>
  <conditionalFormatting sqref="D7:G37">
    <cfRule type="expression" dxfId="33" priority="6">
      <formula>IF(OR($I7=0,AND($D7&gt;0,$B7&gt;0,$F7&gt;0,$G7&gt;0)),1,0)=0</formula>
    </cfRule>
  </conditionalFormatting>
  <conditionalFormatting sqref="N7:O37">
    <cfRule type="cellIs" dxfId="32" priority="7" operator="equal">
      <formula>0</formula>
    </cfRule>
  </conditionalFormatting>
  <conditionalFormatting sqref="O7:O37">
    <cfRule type="cellIs" dxfId="31" priority="8" operator="equal">
      <formula>"Hora extra"</formula>
    </cfRule>
    <cfRule type="cellIs" dxfId="30" priority="9" operator="equal">
      <formula>"Banco de horas"</formula>
    </cfRule>
    <cfRule type="cellIs" dxfId="29" priority="10" operator="greaterThan">
      <formula>0</formula>
    </cfRule>
  </conditionalFormatting>
  <dataValidations count="2">
    <dataValidation type="list" allowBlank="1" showInputMessage="1" showErrorMessage="1" sqref="O7:O37" xr:uid="{00000000-0002-0000-0300-000000000000}">
      <formula1>"Banco de horas,Hora extra"</formula1>
      <formula2>0</formula2>
    </dataValidation>
    <dataValidation type="list" allowBlank="1" showInputMessage="1" showErrorMessage="1" sqref="C7:C37" xr:uid="{00000000-0002-0000-0300-000001000000}">
      <formula1>"Normal,Feriado,Folga(DSR),Falta Justificada"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F39"/>
  <sheetViews>
    <sheetView showGridLines="0"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ColWidth="8.5546875" defaultRowHeight="14.4" x14ac:dyDescent="0.3"/>
  <cols>
    <col min="1" max="1" width="15.6640625" customWidth="1"/>
    <col min="3" max="3" width="15.109375" customWidth="1"/>
    <col min="4" max="4" width="9.5546875" customWidth="1"/>
    <col min="8" max="8" width="1.109375" customWidth="1"/>
    <col min="9" max="9" width="11.33203125" customWidth="1"/>
    <col min="10" max="10" width="1.109375" customWidth="1"/>
    <col min="11" max="11" width="14.6640625" customWidth="1"/>
    <col min="12" max="12" width="1.109375" customWidth="1"/>
    <col min="13" max="13" width="11.88671875" customWidth="1"/>
    <col min="14" max="14" width="1.109375" customWidth="1"/>
    <col min="15" max="15" width="14.44140625" customWidth="1"/>
    <col min="16" max="16" width="4.33203125" customWidth="1"/>
    <col min="17" max="17" width="11.33203125" customWidth="1"/>
    <col min="18" max="18" width="16.33203125" style="27" customWidth="1"/>
    <col min="19" max="19" width="9.5546875" customWidth="1"/>
    <col min="20" max="20" width="10.33203125" style="27" customWidth="1"/>
    <col min="21" max="21" width="10.44140625" customWidth="1"/>
    <col min="22" max="22" width="10.33203125" style="27" customWidth="1"/>
    <col min="23" max="23" width="10.44140625" customWidth="1"/>
    <col min="24" max="24" width="16.33203125" customWidth="1"/>
    <col min="28" max="28" width="10.88671875" customWidth="1"/>
    <col min="29" max="30" width="11.88671875" customWidth="1"/>
    <col min="31" max="31" width="10.6640625" customWidth="1"/>
  </cols>
  <sheetData>
    <row r="1" spans="1:32" x14ac:dyDescent="0.3">
      <c r="A1" s="28" t="s">
        <v>17</v>
      </c>
      <c r="B1" s="29" t="s">
        <v>1</v>
      </c>
      <c r="C1" s="30"/>
      <c r="D1" s="30"/>
      <c r="E1" s="30"/>
      <c r="F1" s="31"/>
      <c r="M1" s="13" t="s">
        <v>18</v>
      </c>
      <c r="N1" s="13"/>
      <c r="O1" s="13"/>
      <c r="Q1" s="19" t="s">
        <v>19</v>
      </c>
      <c r="R1" s="19" t="s">
        <v>20</v>
      </c>
      <c r="S1" s="19" t="s">
        <v>21</v>
      </c>
    </row>
    <row r="2" spans="1:32" x14ac:dyDescent="0.3">
      <c r="A2" s="28" t="s">
        <v>22</v>
      </c>
      <c r="B2" s="29" t="s">
        <v>23</v>
      </c>
      <c r="C2" s="30"/>
      <c r="D2" s="30"/>
      <c r="E2" s="30"/>
      <c r="F2" s="31"/>
      <c r="M2" s="12" t="s">
        <v>24</v>
      </c>
      <c r="N2" s="12"/>
      <c r="O2" s="32">
        <v>0.20833333333333301</v>
      </c>
      <c r="Q2" s="33">
        <v>2500</v>
      </c>
      <c r="R2" s="33">
        <v>220</v>
      </c>
      <c r="S2" s="33">
        <f>Q2/R2</f>
        <v>11.363636363636363</v>
      </c>
      <c r="AC2" s="34"/>
      <c r="AD2" s="34"/>
      <c r="AE2" s="34"/>
    </row>
    <row r="3" spans="1:32" x14ac:dyDescent="0.3">
      <c r="A3" s="28" t="s">
        <v>25</v>
      </c>
      <c r="B3" s="29" t="s">
        <v>26</v>
      </c>
      <c r="C3" s="30"/>
      <c r="D3" s="30"/>
      <c r="E3" s="30"/>
      <c r="F3" s="31"/>
      <c r="M3" s="11" t="s">
        <v>27</v>
      </c>
      <c r="N3" s="11"/>
      <c r="O3" s="35">
        <v>0</v>
      </c>
      <c r="AC3" s="34"/>
      <c r="AD3" s="34"/>
      <c r="AE3" s="34"/>
    </row>
    <row r="4" spans="1:32" x14ac:dyDescent="0.3">
      <c r="A4" s="28" t="s">
        <v>28</v>
      </c>
      <c r="B4" s="29" t="s">
        <v>29</v>
      </c>
      <c r="C4" s="30"/>
      <c r="D4" s="30"/>
      <c r="E4" s="30"/>
      <c r="F4" s="31"/>
      <c r="G4" s="36"/>
      <c r="AC4" s="34"/>
      <c r="AD4" s="34"/>
      <c r="AE4" s="37">
        <v>0.20833333333333301</v>
      </c>
    </row>
    <row r="5" spans="1:32" x14ac:dyDescent="0.3">
      <c r="AC5" s="37">
        <v>4.1666666666666699E-2</v>
      </c>
      <c r="AD5" s="37">
        <v>0.45833333333333298</v>
      </c>
      <c r="AE5" s="37">
        <v>0.91666666666666696</v>
      </c>
    </row>
    <row r="6" spans="1:32" x14ac:dyDescent="0.3">
      <c r="A6" s="10" t="s">
        <v>30</v>
      </c>
      <c r="B6" s="10"/>
      <c r="C6" s="39" t="s">
        <v>31</v>
      </c>
      <c r="D6" s="38" t="s">
        <v>32</v>
      </c>
      <c r="E6" s="10" t="s">
        <v>33</v>
      </c>
      <c r="F6" s="10"/>
      <c r="G6" s="38" t="s">
        <v>34</v>
      </c>
      <c r="H6" s="40"/>
      <c r="I6" s="38" t="s">
        <v>35</v>
      </c>
      <c r="J6" s="40"/>
      <c r="K6" s="38" t="s">
        <v>36</v>
      </c>
      <c r="L6" s="40"/>
      <c r="M6" s="38" t="s">
        <v>24</v>
      </c>
      <c r="N6" s="40"/>
      <c r="O6" s="38" t="s">
        <v>37</v>
      </c>
      <c r="AB6" s="41" t="s">
        <v>38</v>
      </c>
      <c r="AC6" s="42" t="s">
        <v>15</v>
      </c>
      <c r="AD6" s="42" t="s">
        <v>14</v>
      </c>
      <c r="AE6" s="43" t="s">
        <v>11</v>
      </c>
    </row>
    <row r="7" spans="1:32" x14ac:dyDescent="0.3">
      <c r="A7" s="44">
        <v>42005</v>
      </c>
      <c r="B7" s="45" t="str">
        <f t="shared" ref="B7:B37" si="0">PROPER(TEXT(WEEKDAY(A7),"ddd"))</f>
        <v>Qui</v>
      </c>
      <c r="C7" s="24" t="s">
        <v>39</v>
      </c>
      <c r="D7" s="46">
        <v>6.9444444444444404E-4</v>
      </c>
      <c r="E7" s="46">
        <v>0.5</v>
      </c>
      <c r="F7" s="46">
        <v>0.51041666666666696</v>
      </c>
      <c r="G7" s="46">
        <v>0.95833333333333304</v>
      </c>
      <c r="I7" s="47">
        <f t="shared" ref="I7:I37" si="1">(E7-D7)+IF(G7&lt;F7,((1+G7)-F7),G7-F7)</f>
        <v>0.94722222222222163</v>
      </c>
      <c r="K7" s="48">
        <f>IF(C7&lt;&gt;"Falta Justificada",IF(VLOOKUP(B7,$Q$9:$V$15,6,0)&gt;(I7+Cadastro!$B$10),VLOOKUP(B7,$Q$9:$V$15,6,0)-I7,0),0)</f>
        <v>0</v>
      </c>
      <c r="M7" s="48">
        <f>IF(VLOOKUP(B7,$Q$9:$V$15,6,0)-(I7-Cadastro!$B$10)&lt;0,ABS(VLOOKUP(B7,$Q$9:$V$15,6,0)-I7),0)</f>
        <v>0.5805555555555546</v>
      </c>
      <c r="O7" s="49" t="s">
        <v>40</v>
      </c>
      <c r="Q7" s="9" t="s">
        <v>41</v>
      </c>
      <c r="R7" s="9"/>
      <c r="S7" s="9"/>
      <c r="T7" s="9"/>
      <c r="U7" s="9"/>
      <c r="V7" s="9"/>
      <c r="W7" s="9"/>
      <c r="AB7" s="50">
        <f t="shared" ref="AB7:AB37" si="2">F7-E7</f>
        <v>1.0416666666666963E-2</v>
      </c>
      <c r="AC7" s="50">
        <f t="shared" ref="AC7:AC37" si="3">IF(AND(F7&gt;0,E7&gt;0,$AC$5&gt;AB7),$AC$5-AB7,0)</f>
        <v>3.1249999999999736E-2</v>
      </c>
      <c r="AD7" s="50">
        <f t="shared" ref="AD7:AD37" si="4">IF(((1-G7)+D7)&lt;$AD$5,$AD$5-((1-G7)+D7),0)</f>
        <v>0.41597222222222158</v>
      </c>
      <c r="AE7" s="50">
        <f t="shared" ref="AE7:AE37" si="5">IF(AND(D7&lt;$AE$4,D7&gt;0),$AE$4-D7,0)+IF(AND(G7&gt;$AE$5,G7&gt;0),G7-$AE$5,0)</f>
        <v>0.24930555555555464</v>
      </c>
      <c r="AF7" s="36"/>
    </row>
    <row r="8" spans="1:32" x14ac:dyDescent="0.3">
      <c r="A8" s="44">
        <v>42006</v>
      </c>
      <c r="B8" s="45" t="str">
        <f t="shared" si="0"/>
        <v>Sex</v>
      </c>
      <c r="C8" s="24" t="s">
        <v>42</v>
      </c>
      <c r="D8" s="46">
        <v>0.344444444444444</v>
      </c>
      <c r="E8" s="46">
        <v>0.5</v>
      </c>
      <c r="F8" s="46">
        <v>0.55208333333333304</v>
      </c>
      <c r="G8" s="46">
        <v>0.75208333333333299</v>
      </c>
      <c r="I8" s="47">
        <f t="shared" si="1"/>
        <v>0.35555555555555596</v>
      </c>
      <c r="K8" s="48">
        <f>IF(C8&lt;&gt;"Falta Justificada",IF(VLOOKUP(B8,$Q$9:$V$15,6,0)&gt;(I8+Cadastro!$B$10),VLOOKUP(B8,$Q$9:$V$15,6,0)-I8,0),0)</f>
        <v>1.1111111111111016E-2</v>
      </c>
      <c r="M8" s="48">
        <f>IF(VLOOKUP(B8,$Q$9:$V$15,6,0)-(I8-Cadastro!$B$10)&lt;0,ABS(VLOOKUP(B8,$Q$9:$V$15,6,0)-I8),0)</f>
        <v>0</v>
      </c>
      <c r="O8" s="49" t="s">
        <v>43</v>
      </c>
      <c r="Q8" s="51" t="s">
        <v>30</v>
      </c>
      <c r="R8" s="51" t="s">
        <v>32</v>
      </c>
      <c r="S8" s="8" t="s">
        <v>33</v>
      </c>
      <c r="T8" s="8"/>
      <c r="U8" s="52" t="s">
        <v>34</v>
      </c>
      <c r="V8" s="52" t="s">
        <v>44</v>
      </c>
      <c r="W8" s="52" t="s">
        <v>33</v>
      </c>
      <c r="AB8" s="53">
        <f t="shared" si="2"/>
        <v>5.2083333333333037E-2</v>
      </c>
      <c r="AC8" s="53">
        <f t="shared" si="3"/>
        <v>0</v>
      </c>
      <c r="AD8" s="53">
        <f t="shared" si="4"/>
        <v>0</v>
      </c>
      <c r="AE8" s="53">
        <f t="shared" si="5"/>
        <v>0</v>
      </c>
    </row>
    <row r="9" spans="1:32" x14ac:dyDescent="0.3">
      <c r="A9" s="44">
        <v>42007</v>
      </c>
      <c r="B9" s="45" t="str">
        <f t="shared" si="0"/>
        <v>Sáb</v>
      </c>
      <c r="C9" s="24"/>
      <c r="D9" s="46"/>
      <c r="E9" s="46"/>
      <c r="F9" s="46"/>
      <c r="G9" s="46"/>
      <c r="I9" s="47">
        <f t="shared" si="1"/>
        <v>0</v>
      </c>
      <c r="K9" s="48">
        <f>IF(C9&lt;&gt;"Falta Justificada",IF(VLOOKUP(B9,$Q$9:$V$15,6,0)&gt;(I9+Cadastro!$B$10),VLOOKUP(B9,$Q$9:$V$15,6,0)-I9,0),0)</f>
        <v>0.16666666666666702</v>
      </c>
      <c r="M9" s="48">
        <f>IF(VLOOKUP(B9,$Q$9:$V$15,6,0)-(I9-Cadastro!$B$10)&lt;0,ABS(VLOOKUP(B9,$Q$9:$V$15,6,0)-I9),0)</f>
        <v>0</v>
      </c>
      <c r="O9" s="49"/>
      <c r="Q9" s="54" t="str">
        <f>PROPER(TEXT(1,"ddd"))</f>
        <v>Dom</v>
      </c>
      <c r="R9" s="46">
        <v>0</v>
      </c>
      <c r="S9" s="46">
        <v>0</v>
      </c>
      <c r="T9" s="46">
        <v>0</v>
      </c>
      <c r="U9" s="55">
        <v>0</v>
      </c>
      <c r="V9" s="53">
        <f t="shared" ref="V9:V15" si="6">(U9-R9)-(T9-S9)</f>
        <v>0</v>
      </c>
      <c r="W9" s="53">
        <f t="shared" ref="W9:W15" si="7">T9-S9</f>
        <v>0</v>
      </c>
      <c r="AB9" s="53">
        <f t="shared" si="2"/>
        <v>0</v>
      </c>
      <c r="AC9" s="53">
        <f t="shared" si="3"/>
        <v>0</v>
      </c>
      <c r="AD9" s="53">
        <f t="shared" si="4"/>
        <v>0</v>
      </c>
      <c r="AE9" s="53">
        <f t="shared" si="5"/>
        <v>0</v>
      </c>
    </row>
    <row r="10" spans="1:32" x14ac:dyDescent="0.3">
      <c r="A10" s="44">
        <v>42008</v>
      </c>
      <c r="B10" s="45" t="str">
        <f t="shared" si="0"/>
        <v>Dom</v>
      </c>
      <c r="C10" s="24"/>
      <c r="D10" s="46"/>
      <c r="E10" s="46"/>
      <c r="F10" s="46"/>
      <c r="G10" s="46"/>
      <c r="I10" s="47">
        <f t="shared" si="1"/>
        <v>0</v>
      </c>
      <c r="K10" s="48">
        <f>IF(C10&lt;&gt;"Falta Justificada",IF(VLOOKUP(B10,$Q$9:$V$15,6,0)&gt;(I10+Cadastro!$B$10),VLOOKUP(B10,$Q$9:$V$15,6,0)-I10,0),0)</f>
        <v>0</v>
      </c>
      <c r="M10" s="48">
        <f>IF(VLOOKUP(B10,$Q$9:$V$15,6,0)-(I10-Cadastro!$B$10)&lt;0,ABS(VLOOKUP(B10,$Q$9:$V$15,6,0)-I10),0)</f>
        <v>0</v>
      </c>
      <c r="O10" s="49"/>
      <c r="Q10" s="54" t="str">
        <f>PROPER(TEXT(2,"ddd"))</f>
        <v>Seg</v>
      </c>
      <c r="R10" s="46">
        <v>0.33333333333333298</v>
      </c>
      <c r="S10" s="56">
        <v>0.5</v>
      </c>
      <c r="T10" s="46">
        <v>0.55208333333333304</v>
      </c>
      <c r="U10" s="56">
        <v>0.75208333333333299</v>
      </c>
      <c r="V10" s="53">
        <f t="shared" si="6"/>
        <v>0.36666666666666697</v>
      </c>
      <c r="W10" s="53">
        <f t="shared" si="7"/>
        <v>5.2083333333333037E-2</v>
      </c>
      <c r="AB10" s="53">
        <f t="shared" si="2"/>
        <v>0</v>
      </c>
      <c r="AC10" s="53">
        <f t="shared" si="3"/>
        <v>0</v>
      </c>
      <c r="AD10" s="53">
        <f t="shared" si="4"/>
        <v>0</v>
      </c>
      <c r="AE10" s="53">
        <f t="shared" si="5"/>
        <v>0</v>
      </c>
    </row>
    <row r="11" spans="1:32" x14ac:dyDescent="0.3">
      <c r="A11" s="44">
        <v>42009</v>
      </c>
      <c r="B11" s="45" t="str">
        <f t="shared" si="0"/>
        <v>Seg</v>
      </c>
      <c r="C11" s="24" t="s">
        <v>45</v>
      </c>
      <c r="D11" s="46">
        <v>0.33333333333333298</v>
      </c>
      <c r="E11" s="46">
        <v>0.5</v>
      </c>
      <c r="F11" s="46">
        <v>0.55208333333333304</v>
      </c>
      <c r="G11" s="46">
        <v>0.75208333333333299</v>
      </c>
      <c r="I11" s="47">
        <f t="shared" si="1"/>
        <v>0.36666666666666697</v>
      </c>
      <c r="K11" s="48">
        <f>IF(C11&lt;&gt;"Falta Justificada",IF(VLOOKUP(B11,$Q$9:$V$15,6,0)&gt;(I11+Cadastro!$B$10),VLOOKUP(B11,$Q$9:$V$15,6,0)-I11,0),0)</f>
        <v>0</v>
      </c>
      <c r="M11" s="48">
        <f>IF(VLOOKUP(B11,$Q$9:$V$15,6,0)-(I11-Cadastro!$B$10)&lt;0,ABS(VLOOKUP(B11,$Q$9:$V$15,6,0)-I11),0)</f>
        <v>0</v>
      </c>
      <c r="O11" s="49"/>
      <c r="Q11" s="54" t="str">
        <f>PROPER(TEXT(3,"ddd"))</f>
        <v>Ter</v>
      </c>
      <c r="R11" s="46">
        <v>0.33333333333333298</v>
      </c>
      <c r="S11" s="56">
        <v>0.5</v>
      </c>
      <c r="T11" s="46">
        <v>0.55208333333333304</v>
      </c>
      <c r="U11" s="56">
        <v>0.75208333333333299</v>
      </c>
      <c r="V11" s="53">
        <f t="shared" si="6"/>
        <v>0.36666666666666697</v>
      </c>
      <c r="W11" s="53">
        <f t="shared" si="7"/>
        <v>5.2083333333333037E-2</v>
      </c>
      <c r="AB11" s="53">
        <f t="shared" si="2"/>
        <v>5.2083333333333037E-2</v>
      </c>
      <c r="AC11" s="53">
        <f t="shared" si="3"/>
        <v>0</v>
      </c>
      <c r="AD11" s="53">
        <f t="shared" si="4"/>
        <v>0</v>
      </c>
      <c r="AE11" s="53">
        <f t="shared" si="5"/>
        <v>0</v>
      </c>
    </row>
    <row r="12" spans="1:32" x14ac:dyDescent="0.3">
      <c r="A12" s="44">
        <v>42010</v>
      </c>
      <c r="B12" s="45" t="str">
        <f t="shared" si="0"/>
        <v>Ter</v>
      </c>
      <c r="C12" s="24" t="s">
        <v>39</v>
      </c>
      <c r="D12" s="46">
        <v>0.33333333333333298</v>
      </c>
      <c r="E12" s="46">
        <v>0.5</v>
      </c>
      <c r="F12" s="46">
        <v>0.55208333333333304</v>
      </c>
      <c r="G12" s="46">
        <v>0.75208333333333299</v>
      </c>
      <c r="I12" s="47">
        <f t="shared" si="1"/>
        <v>0.36666666666666697</v>
      </c>
      <c r="K12" s="48">
        <f>IF(C12&lt;&gt;"Falta Justificada",IF(VLOOKUP(B12,$Q$9:$V$15,6,0)&gt;(I12+Cadastro!$B$10),VLOOKUP(B12,$Q$9:$V$15,6,0)-I12,0),0)</f>
        <v>0</v>
      </c>
      <c r="M12" s="48">
        <f>IF(VLOOKUP(B12,$Q$9:$V$15,6,0)-(I12-Cadastro!$B$10)&lt;0,ABS(VLOOKUP(B12,$Q$9:$V$15,6,0)-I12),0)</f>
        <v>0</v>
      </c>
      <c r="O12" s="49"/>
      <c r="Q12" s="54" t="str">
        <f>PROPER(TEXT(4,"ddd"))</f>
        <v>Qua</v>
      </c>
      <c r="R12" s="46">
        <v>0.33333333333333298</v>
      </c>
      <c r="S12" s="56">
        <v>0.5</v>
      </c>
      <c r="T12" s="46">
        <v>0.55208333333333304</v>
      </c>
      <c r="U12" s="56">
        <v>0.75208333333333299</v>
      </c>
      <c r="V12" s="53">
        <f t="shared" si="6"/>
        <v>0.36666666666666697</v>
      </c>
      <c r="W12" s="53">
        <f t="shared" si="7"/>
        <v>5.2083333333333037E-2</v>
      </c>
      <c r="AB12" s="53">
        <f t="shared" si="2"/>
        <v>5.2083333333333037E-2</v>
      </c>
      <c r="AC12" s="53">
        <f t="shared" si="3"/>
        <v>0</v>
      </c>
      <c r="AD12" s="53">
        <f t="shared" si="4"/>
        <v>0</v>
      </c>
      <c r="AE12" s="53">
        <f t="shared" si="5"/>
        <v>0</v>
      </c>
    </row>
    <row r="13" spans="1:32" x14ac:dyDescent="0.3">
      <c r="A13" s="44">
        <v>42011</v>
      </c>
      <c r="B13" s="45" t="str">
        <f t="shared" si="0"/>
        <v>Qua</v>
      </c>
      <c r="C13" s="24" t="s">
        <v>39</v>
      </c>
      <c r="D13" s="46">
        <v>0.33333333333333298</v>
      </c>
      <c r="E13" s="46">
        <v>0.5</v>
      </c>
      <c r="F13" s="46">
        <v>0.59375</v>
      </c>
      <c r="G13" s="46">
        <v>0.6875</v>
      </c>
      <c r="I13" s="47">
        <f t="shared" si="1"/>
        <v>0.26041666666666702</v>
      </c>
      <c r="K13" s="48">
        <f>IF(C13&lt;&gt;"Falta Justificada",IF(VLOOKUP(B13,$Q$9:$V$15,6,0)&gt;(I13+Cadastro!$B$10),VLOOKUP(B13,$Q$9:$V$15,6,0)-I13,0),0)</f>
        <v>0.10624999999999996</v>
      </c>
      <c r="M13" s="48">
        <f>IF(VLOOKUP(B13,$Q$9:$V$15,6,0)-(I13-Cadastro!$B$10)&lt;0,ABS(VLOOKUP(B13,$Q$9:$V$15,6,0)-I13),0)</f>
        <v>0</v>
      </c>
      <c r="O13" s="49" t="s">
        <v>43</v>
      </c>
      <c r="Q13" s="54" t="str">
        <f>PROPER(TEXT(5,"ddd"))</f>
        <v>Qui</v>
      </c>
      <c r="R13" s="46">
        <v>0.33333333333333298</v>
      </c>
      <c r="S13" s="56">
        <v>0.5</v>
      </c>
      <c r="T13" s="46">
        <v>0.55208333333333304</v>
      </c>
      <c r="U13" s="56">
        <v>0.75208333333333299</v>
      </c>
      <c r="V13" s="53">
        <f t="shared" si="6"/>
        <v>0.36666666666666697</v>
      </c>
      <c r="W13" s="53">
        <f t="shared" si="7"/>
        <v>5.2083333333333037E-2</v>
      </c>
      <c r="AB13" s="53">
        <f t="shared" si="2"/>
        <v>9.375E-2</v>
      </c>
      <c r="AC13" s="53">
        <f t="shared" si="3"/>
        <v>0</v>
      </c>
      <c r="AD13" s="53">
        <f t="shared" si="4"/>
        <v>0</v>
      </c>
      <c r="AE13" s="53">
        <f t="shared" si="5"/>
        <v>0</v>
      </c>
    </row>
    <row r="14" spans="1:32" x14ac:dyDescent="0.3">
      <c r="A14" s="44">
        <v>42012</v>
      </c>
      <c r="B14" s="45" t="str">
        <f t="shared" si="0"/>
        <v>Qui</v>
      </c>
      <c r="C14" s="24"/>
      <c r="D14" s="46">
        <v>0.33333333333333298</v>
      </c>
      <c r="E14" s="46">
        <v>0.5</v>
      </c>
      <c r="F14" s="46">
        <v>0.55208333333333304</v>
      </c>
      <c r="G14" s="46">
        <v>0.75208333333333299</v>
      </c>
      <c r="I14" s="47">
        <f t="shared" si="1"/>
        <v>0.36666666666666697</v>
      </c>
      <c r="K14" s="48">
        <f>IF(C14&lt;&gt;"Falta Justificada",IF(VLOOKUP(B14,$Q$9:$V$15,6,0)&gt;(I14+Cadastro!$B$10),VLOOKUP(B14,$Q$9:$V$15,6,0)-I14,0),0)</f>
        <v>0</v>
      </c>
      <c r="M14" s="48">
        <f>IF(VLOOKUP(B14,$Q$9:$V$15,6,0)-(I14-Cadastro!$B$10)&lt;0,ABS(VLOOKUP(B14,$Q$9:$V$15,6,0)-I14),0)</f>
        <v>0</v>
      </c>
      <c r="O14" s="49"/>
      <c r="Q14" s="54" t="str">
        <f>PROPER(TEXT(6,"ddd"))</f>
        <v>Sex</v>
      </c>
      <c r="R14" s="46">
        <v>0.33333333333333298</v>
      </c>
      <c r="S14" s="56">
        <v>0.5</v>
      </c>
      <c r="T14" s="46">
        <v>0.55208333333333304</v>
      </c>
      <c r="U14" s="56">
        <v>0.75208333333333299</v>
      </c>
      <c r="V14" s="53">
        <f t="shared" si="6"/>
        <v>0.36666666666666697</v>
      </c>
      <c r="W14" s="53">
        <f t="shared" si="7"/>
        <v>5.2083333333333037E-2</v>
      </c>
      <c r="AB14" s="53">
        <f t="shared" si="2"/>
        <v>5.2083333333333037E-2</v>
      </c>
      <c r="AC14" s="53">
        <f t="shared" si="3"/>
        <v>0</v>
      </c>
      <c r="AD14" s="53">
        <f t="shared" si="4"/>
        <v>0</v>
      </c>
      <c r="AE14" s="53">
        <f t="shared" si="5"/>
        <v>0</v>
      </c>
    </row>
    <row r="15" spans="1:32" x14ac:dyDescent="0.3">
      <c r="A15" s="44">
        <v>42013</v>
      </c>
      <c r="B15" s="45" t="str">
        <f t="shared" si="0"/>
        <v>Sex</v>
      </c>
      <c r="C15" s="24"/>
      <c r="D15" s="46">
        <v>0.33333333333333298</v>
      </c>
      <c r="E15" s="46">
        <v>0.5</v>
      </c>
      <c r="F15" s="46">
        <v>0.55208333333333304</v>
      </c>
      <c r="G15" s="46">
        <v>0.75208333333333299</v>
      </c>
      <c r="I15" s="47">
        <f t="shared" si="1"/>
        <v>0.36666666666666697</v>
      </c>
      <c r="K15" s="48">
        <f>IF(C15&lt;&gt;"Falta Justificada",IF(VLOOKUP(B15,$Q$9:$V$15,6,0)&gt;(I15+Cadastro!$B$10),VLOOKUP(B15,$Q$9:$V$15,6,0)-I15,0),0)</f>
        <v>0</v>
      </c>
      <c r="M15" s="48">
        <f>IF(VLOOKUP(B15,$Q$9:$V$15,6,0)-(I15-Cadastro!$B$10)&lt;0,ABS(VLOOKUP(B15,$Q$9:$V$15,6,0)-I15),0)</f>
        <v>0</v>
      </c>
      <c r="O15" s="49"/>
      <c r="Q15" s="54" t="str">
        <f>PROPER(TEXT(7,"ddd"))</f>
        <v>Sáb</v>
      </c>
      <c r="R15" s="46">
        <v>0.33333333333333298</v>
      </c>
      <c r="S15" s="46">
        <v>0</v>
      </c>
      <c r="T15" s="46">
        <v>0</v>
      </c>
      <c r="U15" s="55">
        <v>0.5</v>
      </c>
      <c r="V15" s="53">
        <f t="shared" si="6"/>
        <v>0.16666666666666702</v>
      </c>
      <c r="W15" s="53">
        <f t="shared" si="7"/>
        <v>0</v>
      </c>
      <c r="AB15" s="53">
        <f t="shared" si="2"/>
        <v>5.2083333333333037E-2</v>
      </c>
      <c r="AC15" s="53">
        <f t="shared" si="3"/>
        <v>0</v>
      </c>
      <c r="AD15" s="53">
        <f t="shared" si="4"/>
        <v>0</v>
      </c>
      <c r="AE15" s="53">
        <f t="shared" si="5"/>
        <v>0</v>
      </c>
    </row>
    <row r="16" spans="1:32" x14ac:dyDescent="0.3">
      <c r="A16" s="44">
        <v>42014</v>
      </c>
      <c r="B16" s="45" t="str">
        <f t="shared" si="0"/>
        <v>Sáb</v>
      </c>
      <c r="C16" s="24" t="s">
        <v>46</v>
      </c>
      <c r="D16" s="46">
        <v>0.33333333333333298</v>
      </c>
      <c r="E16" s="46"/>
      <c r="F16" s="46"/>
      <c r="G16" s="46">
        <v>0.5</v>
      </c>
      <c r="I16" s="47">
        <f t="shared" si="1"/>
        <v>0.16666666666666702</v>
      </c>
      <c r="K16" s="48">
        <f>IF(C16&lt;&gt;"Falta Justificada",IF(VLOOKUP(B16,$Q$9:$V$15,6,0)&gt;(I16+Cadastro!$B$10),VLOOKUP(B16,$Q$9:$V$15,6,0)-I16,0),0)</f>
        <v>0</v>
      </c>
      <c r="M16" s="48">
        <f>IF(VLOOKUP(B16,$Q$9:$V$15,6,0)-(I16-Cadastro!$B$10)&lt;0,ABS(VLOOKUP(B16,$Q$9:$V$15,6,0)-I16),0)</f>
        <v>0</v>
      </c>
      <c r="O16" s="49"/>
      <c r="AB16" s="53">
        <f t="shared" si="2"/>
        <v>0</v>
      </c>
      <c r="AC16" s="53">
        <f t="shared" si="3"/>
        <v>0</v>
      </c>
      <c r="AD16" s="53">
        <f t="shared" si="4"/>
        <v>0</v>
      </c>
      <c r="AE16" s="53">
        <f t="shared" si="5"/>
        <v>0</v>
      </c>
    </row>
    <row r="17" spans="1:31" x14ac:dyDescent="0.3">
      <c r="A17" s="44">
        <v>42015</v>
      </c>
      <c r="B17" s="45" t="str">
        <f t="shared" si="0"/>
        <v>Dom</v>
      </c>
      <c r="C17" s="24"/>
      <c r="D17" s="46"/>
      <c r="E17" s="46"/>
      <c r="F17" s="46"/>
      <c r="G17" s="46"/>
      <c r="I17" s="47">
        <f t="shared" si="1"/>
        <v>0</v>
      </c>
      <c r="K17" s="48">
        <f>IF(C17&lt;&gt;"Falta Justificada",IF(VLOOKUP(B17,$Q$9:$V$15,6,0)&gt;(I17+Cadastro!$B$10),VLOOKUP(B17,$Q$9:$V$15,6,0)-I17,0),0)</f>
        <v>0</v>
      </c>
      <c r="M17" s="48">
        <f>IF(VLOOKUP(B17,$Q$9:$V$15,6,0)-(I17-Cadastro!$B$10)&lt;0,ABS(VLOOKUP(B17,$Q$9:$V$15,6,0)-I17),0)</f>
        <v>0</v>
      </c>
      <c r="O17" s="49"/>
      <c r="Q17" s="7" t="s">
        <v>47</v>
      </c>
      <c r="R17" s="7"/>
      <c r="S17" s="7"/>
      <c r="AB17" s="53">
        <f t="shared" si="2"/>
        <v>0</v>
      </c>
      <c r="AC17" s="53">
        <f t="shared" si="3"/>
        <v>0</v>
      </c>
      <c r="AD17" s="53">
        <f t="shared" si="4"/>
        <v>0</v>
      </c>
      <c r="AE17" s="53">
        <f t="shared" si="5"/>
        <v>0</v>
      </c>
    </row>
    <row r="18" spans="1:31" x14ac:dyDescent="0.3">
      <c r="A18" s="44">
        <v>42016</v>
      </c>
      <c r="B18" s="45" t="str">
        <f t="shared" si="0"/>
        <v>Seg</v>
      </c>
      <c r="C18" s="24" t="s">
        <v>39</v>
      </c>
      <c r="D18" s="46">
        <v>0.33333333333333298</v>
      </c>
      <c r="E18" s="46">
        <v>0.5</v>
      </c>
      <c r="F18" s="46">
        <v>0.55208333333333304</v>
      </c>
      <c r="G18" s="46">
        <v>0.79166666666666696</v>
      </c>
      <c r="I18" s="47">
        <f t="shared" si="1"/>
        <v>0.40625000000000094</v>
      </c>
      <c r="K18" s="48">
        <f>IF(C18&lt;&gt;"Falta Justificada",IF(VLOOKUP(B18,$Q$9:$V$15,6,0)&gt;(I18+Cadastro!$B$10),VLOOKUP(B18,$Q$9:$V$15,6,0)-I18,0),0)</f>
        <v>0</v>
      </c>
      <c r="M18" s="48">
        <f>IF(VLOOKUP(B18,$Q$9:$V$15,6,0)-(I18-Cadastro!$B$10)&lt;0,ABS(VLOOKUP(B18,$Q$9:$V$15,6,0)-I18),0)</f>
        <v>3.958333333333397E-2</v>
      </c>
      <c r="O18" s="49" t="s">
        <v>43</v>
      </c>
      <c r="Q18" s="6" t="s">
        <v>48</v>
      </c>
      <c r="R18" s="6"/>
      <c r="S18" s="57">
        <f>SUM(I:I)</f>
        <v>9.2361111111111214</v>
      </c>
      <c r="AB18" s="53">
        <f t="shared" si="2"/>
        <v>5.2083333333333037E-2</v>
      </c>
      <c r="AC18" s="53">
        <f t="shared" si="3"/>
        <v>0</v>
      </c>
      <c r="AD18" s="53">
        <f t="shared" si="4"/>
        <v>0</v>
      </c>
      <c r="AE18" s="53">
        <f t="shared" si="5"/>
        <v>0</v>
      </c>
    </row>
    <row r="19" spans="1:31" x14ac:dyDescent="0.3">
      <c r="A19" s="44">
        <v>42017</v>
      </c>
      <c r="B19" s="45" t="str">
        <f t="shared" si="0"/>
        <v>Ter</v>
      </c>
      <c r="C19" s="24" t="s">
        <v>39</v>
      </c>
      <c r="D19" s="46">
        <v>0.33333333333333298</v>
      </c>
      <c r="E19" s="46">
        <v>0.5</v>
      </c>
      <c r="F19" s="46">
        <v>0.55208333333333304</v>
      </c>
      <c r="G19" s="46">
        <v>0.75208333333333299</v>
      </c>
      <c r="I19" s="47">
        <f t="shared" si="1"/>
        <v>0.36666666666666697</v>
      </c>
      <c r="K19" s="48">
        <f>IF(C19&lt;&gt;"Falta Justificada",IF(VLOOKUP(B19,$Q$9:$V$15,6,0)&gt;(I19+Cadastro!$B$10),VLOOKUP(B19,$Q$9:$V$15,6,0)-I19,0),0)</f>
        <v>0</v>
      </c>
      <c r="M19" s="48">
        <f>IF(VLOOKUP(B19,$Q$9:$V$15,6,0)-(I19-Cadastro!$B$10)&lt;0,ABS(VLOOKUP(B19,$Q$9:$V$15,6,0)-I19),0)</f>
        <v>0</v>
      </c>
      <c r="O19" s="49"/>
      <c r="Q19" s="58" t="s">
        <v>36</v>
      </c>
      <c r="R19" s="58"/>
      <c r="S19" s="47">
        <f>SUM(K:K)</f>
        <v>0.28402777777777799</v>
      </c>
      <c r="AB19" s="53">
        <f t="shared" si="2"/>
        <v>5.2083333333333037E-2</v>
      </c>
      <c r="AC19" s="53">
        <f t="shared" si="3"/>
        <v>0</v>
      </c>
      <c r="AD19" s="53">
        <f t="shared" si="4"/>
        <v>0</v>
      </c>
      <c r="AE19" s="53">
        <f t="shared" si="5"/>
        <v>0</v>
      </c>
    </row>
    <row r="20" spans="1:31" x14ac:dyDescent="0.3">
      <c r="A20" s="44">
        <v>42018</v>
      </c>
      <c r="B20" s="45" t="str">
        <f t="shared" si="0"/>
        <v>Qua</v>
      </c>
      <c r="C20" s="24" t="s">
        <v>39</v>
      </c>
      <c r="D20" s="46">
        <v>0.33333333333333298</v>
      </c>
      <c r="E20" s="46">
        <v>0.5</v>
      </c>
      <c r="F20" s="46">
        <v>0.55208333333333304</v>
      </c>
      <c r="G20" s="46">
        <v>0.75208333333333299</v>
      </c>
      <c r="I20" s="47">
        <f t="shared" si="1"/>
        <v>0.36666666666666697</v>
      </c>
      <c r="K20" s="48">
        <f>IF(C20&lt;&gt;"Falta Justificada",IF(VLOOKUP(B20,$Q$9:$V$15,6,0)&gt;(I20+Cadastro!$B$10),VLOOKUP(B20,$Q$9:$V$15,6,0)-I20,0),0)</f>
        <v>0</v>
      </c>
      <c r="M20" s="48">
        <f>IF(VLOOKUP(B20,$Q$9:$V$15,6,0)-(I20-Cadastro!$B$10)&lt;0,ABS(VLOOKUP(B20,$Q$9:$V$15,6,0)-I20),0)</f>
        <v>0</v>
      </c>
      <c r="O20" s="49"/>
      <c r="Q20" s="58" t="s">
        <v>24</v>
      </c>
      <c r="R20" s="58"/>
      <c r="S20" s="47">
        <f>SUM(M:M)</f>
        <v>0.62013888888888857</v>
      </c>
      <c r="AB20" s="53">
        <f t="shared" si="2"/>
        <v>5.2083333333333037E-2</v>
      </c>
      <c r="AC20" s="53">
        <f t="shared" si="3"/>
        <v>0</v>
      </c>
      <c r="AD20" s="53">
        <f t="shared" si="4"/>
        <v>0</v>
      </c>
      <c r="AE20" s="53">
        <f t="shared" si="5"/>
        <v>0</v>
      </c>
    </row>
    <row r="21" spans="1:31" x14ac:dyDescent="0.3">
      <c r="A21" s="44">
        <v>42019</v>
      </c>
      <c r="B21" s="45" t="str">
        <f t="shared" si="0"/>
        <v>Qui</v>
      </c>
      <c r="C21" s="24" t="s">
        <v>39</v>
      </c>
      <c r="D21" s="46">
        <v>0.33333333333333298</v>
      </c>
      <c r="E21" s="46">
        <v>0.5</v>
      </c>
      <c r="F21" s="46">
        <v>0.55208333333333304</v>
      </c>
      <c r="G21" s="46">
        <v>0.75208333333333299</v>
      </c>
      <c r="I21" s="47">
        <f t="shared" si="1"/>
        <v>0.36666666666666697</v>
      </c>
      <c r="K21" s="48">
        <f>IF(C21&lt;&gt;"Falta Justificada",IF(VLOOKUP(B21,$Q$9:$V$15,6,0)&gt;(I21+Cadastro!$B$10),VLOOKUP(B21,$Q$9:$V$15,6,0)-I21,0),0)</f>
        <v>0</v>
      </c>
      <c r="M21" s="48">
        <f>IF(VLOOKUP(B21,$Q$9:$V$15,6,0)-(I21-Cadastro!$B$10)&lt;0,ABS(VLOOKUP(B21,$Q$9:$V$15,6,0)-I21),0)</f>
        <v>0</v>
      </c>
      <c r="O21" s="49"/>
      <c r="AB21" s="53">
        <f t="shared" si="2"/>
        <v>5.2083333333333037E-2</v>
      </c>
      <c r="AC21" s="53">
        <f t="shared" si="3"/>
        <v>0</v>
      </c>
      <c r="AD21" s="53">
        <f t="shared" si="4"/>
        <v>0</v>
      </c>
      <c r="AE21" s="53">
        <f t="shared" si="5"/>
        <v>0</v>
      </c>
    </row>
    <row r="22" spans="1:31" x14ac:dyDescent="0.3">
      <c r="A22" s="44">
        <v>42020</v>
      </c>
      <c r="B22" s="45" t="str">
        <f t="shared" si="0"/>
        <v>Sex</v>
      </c>
      <c r="C22" s="24" t="s">
        <v>39</v>
      </c>
      <c r="D22" s="46">
        <v>0.33333333333333298</v>
      </c>
      <c r="E22" s="46">
        <v>0.5</v>
      </c>
      <c r="F22" s="46">
        <v>0.55208333333333304</v>
      </c>
      <c r="G22" s="46">
        <v>0.75208333333333299</v>
      </c>
      <c r="I22" s="47">
        <f t="shared" si="1"/>
        <v>0.36666666666666697</v>
      </c>
      <c r="K22" s="48">
        <f>IF(C22&lt;&gt;"Falta Justificada",IF(VLOOKUP(B22,$Q$9:$V$15,6,0)&gt;(I22+Cadastro!$B$10),VLOOKUP(B22,$Q$9:$V$15,6,0)-I22,0),0)</f>
        <v>0</v>
      </c>
      <c r="M22" s="48">
        <f>IF(VLOOKUP(B22,$Q$9:$V$15,6,0)-(I22-Cadastro!$B$10)&lt;0,ABS(VLOOKUP(B22,$Q$9:$V$15,6,0)-I22),0)</f>
        <v>0</v>
      </c>
      <c r="O22" s="49"/>
      <c r="Q22" s="7" t="s">
        <v>49</v>
      </c>
      <c r="R22" s="7"/>
      <c r="S22" s="7"/>
      <c r="T22" s="7"/>
      <c r="U22" s="7"/>
      <c r="V22" s="7"/>
      <c r="W22" s="7"/>
      <c r="X22" s="7"/>
      <c r="Y22" s="7"/>
      <c r="AB22" s="53">
        <f t="shared" si="2"/>
        <v>5.2083333333333037E-2</v>
      </c>
      <c r="AC22" s="53">
        <f t="shared" si="3"/>
        <v>0</v>
      </c>
      <c r="AD22" s="53">
        <f t="shared" si="4"/>
        <v>0</v>
      </c>
      <c r="AE22" s="53">
        <f t="shared" si="5"/>
        <v>0</v>
      </c>
    </row>
    <row r="23" spans="1:31" x14ac:dyDescent="0.3">
      <c r="A23" s="44">
        <v>42021</v>
      </c>
      <c r="B23" s="45" t="str">
        <f t="shared" si="0"/>
        <v>Sáb</v>
      </c>
      <c r="C23" s="24" t="s">
        <v>39</v>
      </c>
      <c r="D23" s="46">
        <v>0.33333333333333298</v>
      </c>
      <c r="E23" s="46"/>
      <c r="F23" s="46"/>
      <c r="G23" s="46">
        <v>0.5</v>
      </c>
      <c r="I23" s="47">
        <f t="shared" si="1"/>
        <v>0.16666666666666702</v>
      </c>
      <c r="K23" s="48">
        <f>IF(C23&lt;&gt;"Falta Justificada",IF(VLOOKUP(B23,$Q$9:$V$15,6,0)&gt;(I23+Cadastro!$B$10),VLOOKUP(B23,$Q$9:$V$15,6,0)-I23,0),0)</f>
        <v>0</v>
      </c>
      <c r="M23" s="48">
        <f>IF(VLOOKUP(B23,$Q$9:$V$15,6,0)-(I23-Cadastro!$B$10)&lt;0,ABS(VLOOKUP(B23,$Q$9:$V$15,6,0)-I23),0)</f>
        <v>0</v>
      </c>
      <c r="O23" s="49"/>
      <c r="Q23" s="59" t="s">
        <v>30</v>
      </c>
      <c r="R23" s="60" t="s">
        <v>40</v>
      </c>
      <c r="S23" s="61" t="s">
        <v>50</v>
      </c>
      <c r="T23" s="60" t="s">
        <v>51</v>
      </c>
      <c r="U23" s="60" t="s">
        <v>52</v>
      </c>
      <c r="V23" s="61" t="s">
        <v>53</v>
      </c>
      <c r="W23" s="60" t="s">
        <v>54</v>
      </c>
      <c r="X23" s="60" t="s">
        <v>55</v>
      </c>
      <c r="Y23" s="61" t="s">
        <v>56</v>
      </c>
      <c r="AB23" s="53">
        <f t="shared" si="2"/>
        <v>0</v>
      </c>
      <c r="AC23" s="53">
        <f t="shared" si="3"/>
        <v>0</v>
      </c>
      <c r="AD23" s="53">
        <f t="shared" si="4"/>
        <v>0</v>
      </c>
      <c r="AE23" s="53">
        <f t="shared" si="5"/>
        <v>0</v>
      </c>
    </row>
    <row r="24" spans="1:31" x14ac:dyDescent="0.3">
      <c r="A24" s="44">
        <v>42022</v>
      </c>
      <c r="B24" s="45" t="str">
        <f t="shared" si="0"/>
        <v>Dom</v>
      </c>
      <c r="C24" s="24"/>
      <c r="D24" s="46"/>
      <c r="E24" s="46"/>
      <c r="F24" s="46"/>
      <c r="G24" s="46"/>
      <c r="I24" s="47">
        <f t="shared" si="1"/>
        <v>0</v>
      </c>
      <c r="K24" s="48">
        <f>IF(C24&lt;&gt;"Falta Justificada",IF(VLOOKUP(B24,$Q$9:$V$15,6,0)&gt;(I24+Cadastro!$B$10),VLOOKUP(B24,$Q$9:$V$15,6,0)-I24,0),0)</f>
        <v>0</v>
      </c>
      <c r="M24" s="48">
        <f>IF(VLOOKUP(B24,$Q$9:$V$15,6,0)-(I24-Cadastro!$B$10)&lt;0,ABS(VLOOKUP(B24,$Q$9:$V$15,6,0)-I24),0)</f>
        <v>0</v>
      </c>
      <c r="O24" s="49"/>
      <c r="Q24" s="62" t="s">
        <v>57</v>
      </c>
      <c r="R24" s="63">
        <f t="shared" ref="R24:R30" si="8">SUMIF($B$7:$B$37,Q24,$M$7:$M$37)</f>
        <v>0</v>
      </c>
      <c r="S24" s="64">
        <f>Cadastro!$B$4</f>
        <v>1</v>
      </c>
      <c r="T24" s="63">
        <f t="shared" ref="T24:T35" si="9">R24*(1+S24)</f>
        <v>0</v>
      </c>
      <c r="U24" s="63">
        <f t="shared" ref="U24:U30" si="10">SUMIFS($M:$M,$O:$O,"Banco de horas",$B:$B,Q24)*(1+S24)</f>
        <v>0</v>
      </c>
      <c r="V24" s="63">
        <f t="shared" ref="V24:V30" si="11">SUMIFS($M:$M,$O:$O,"Hora extra",$B:$B,Q24)*(1+S24)</f>
        <v>0</v>
      </c>
      <c r="W24" s="63">
        <f t="shared" ref="W24:W30" si="12">SUMIF($B$7:$B$37,Q24,$K$7:$K$37)</f>
        <v>0</v>
      </c>
      <c r="X24" s="63">
        <f t="shared" ref="X24:X30" si="13">SUMIFS($K:$K,$O:$O,"Banco de horas",$B:$B,Q24)</f>
        <v>0</v>
      </c>
      <c r="Y24" s="63">
        <f t="shared" ref="Y24:Y30" si="14">SUMIFS($K:$K,$O:$O,"Hora extra",$B:$B,Q24)</f>
        <v>0</v>
      </c>
      <c r="AB24" s="53">
        <f t="shared" si="2"/>
        <v>0</v>
      </c>
      <c r="AC24" s="53">
        <f t="shared" si="3"/>
        <v>0</v>
      </c>
      <c r="AD24" s="53">
        <f t="shared" si="4"/>
        <v>0</v>
      </c>
      <c r="AE24" s="53">
        <f t="shared" si="5"/>
        <v>0</v>
      </c>
    </row>
    <row r="25" spans="1:31" x14ac:dyDescent="0.3">
      <c r="A25" s="44">
        <v>42023</v>
      </c>
      <c r="B25" s="45" t="str">
        <f t="shared" si="0"/>
        <v>Seg</v>
      </c>
      <c r="C25" s="24" t="s">
        <v>39</v>
      </c>
      <c r="D25" s="46">
        <v>0.33333333333333298</v>
      </c>
      <c r="E25" s="46">
        <v>0.5</v>
      </c>
      <c r="F25" s="46">
        <v>0.55208333333333304</v>
      </c>
      <c r="G25" s="46">
        <v>0.75208333333333299</v>
      </c>
      <c r="I25" s="47">
        <f t="shared" si="1"/>
        <v>0.36666666666666697</v>
      </c>
      <c r="K25" s="48">
        <f>IF(C25&lt;&gt;"Falta Justificada",IF(VLOOKUP(B25,$Q$9:$V$15,6,0)&gt;(I25+Cadastro!$B$10),VLOOKUP(B25,$Q$9:$V$15,6,0)-I25,0),0)</f>
        <v>0</v>
      </c>
      <c r="M25" s="48">
        <f>IF(VLOOKUP(B25,$Q$9:$V$15,6,0)-(I25-Cadastro!$B$10)&lt;0,ABS(VLOOKUP(B25,$Q$9:$V$15,6,0)-I25),0)</f>
        <v>0</v>
      </c>
      <c r="O25" s="49"/>
      <c r="Q25" s="62" t="s">
        <v>58</v>
      </c>
      <c r="R25" s="63">
        <f t="shared" si="8"/>
        <v>3.958333333333397E-2</v>
      </c>
      <c r="S25" s="64">
        <f>Cadastro!$B$2</f>
        <v>0.25</v>
      </c>
      <c r="T25" s="63">
        <f t="shared" si="9"/>
        <v>4.9479166666667462E-2</v>
      </c>
      <c r="U25" s="63">
        <f t="shared" si="10"/>
        <v>4.9479166666667462E-2</v>
      </c>
      <c r="V25" s="63">
        <f t="shared" si="11"/>
        <v>0</v>
      </c>
      <c r="W25" s="63">
        <f t="shared" si="12"/>
        <v>0</v>
      </c>
      <c r="X25" s="63">
        <f t="shared" si="13"/>
        <v>0</v>
      </c>
      <c r="Y25" s="63">
        <f t="shared" si="14"/>
        <v>0</v>
      </c>
      <c r="AB25" s="53">
        <f t="shared" si="2"/>
        <v>5.2083333333333037E-2</v>
      </c>
      <c r="AC25" s="53">
        <f t="shared" si="3"/>
        <v>0</v>
      </c>
      <c r="AD25" s="53">
        <f t="shared" si="4"/>
        <v>0</v>
      </c>
      <c r="AE25" s="53">
        <f t="shared" si="5"/>
        <v>0</v>
      </c>
    </row>
    <row r="26" spans="1:31" x14ac:dyDescent="0.3">
      <c r="A26" s="44">
        <v>42024</v>
      </c>
      <c r="B26" s="45" t="str">
        <f t="shared" si="0"/>
        <v>Ter</v>
      </c>
      <c r="C26" s="24" t="s">
        <v>39</v>
      </c>
      <c r="D26" s="46">
        <v>0.33333333333333298</v>
      </c>
      <c r="E26" s="46">
        <v>0.5</v>
      </c>
      <c r="F26" s="46">
        <v>0.55208333333333304</v>
      </c>
      <c r="G26" s="46">
        <v>0.75208333333333299</v>
      </c>
      <c r="I26" s="47">
        <f t="shared" si="1"/>
        <v>0.36666666666666697</v>
      </c>
      <c r="K26" s="48">
        <f>IF(C26&lt;&gt;"Falta Justificada",IF(VLOOKUP(B26,$Q$9:$V$15,6,0)&gt;(I26+Cadastro!$B$10),VLOOKUP(B26,$Q$9:$V$15,6,0)-I26,0),0)</f>
        <v>0</v>
      </c>
      <c r="M26" s="48">
        <f>IF(VLOOKUP(B26,$Q$9:$V$15,6,0)-(I26-Cadastro!$B$10)&lt;0,ABS(VLOOKUP(B26,$Q$9:$V$15,6,0)-I26),0)</f>
        <v>0</v>
      </c>
      <c r="O26" s="49"/>
      <c r="Q26" s="62" t="s">
        <v>59</v>
      </c>
      <c r="R26" s="63">
        <f t="shared" si="8"/>
        <v>0</v>
      </c>
      <c r="S26" s="64">
        <f>Cadastro!$B$2</f>
        <v>0.25</v>
      </c>
      <c r="T26" s="63">
        <f t="shared" si="9"/>
        <v>0</v>
      </c>
      <c r="U26" s="63">
        <f t="shared" si="10"/>
        <v>0</v>
      </c>
      <c r="V26" s="63">
        <f t="shared" si="11"/>
        <v>0</v>
      </c>
      <c r="W26" s="63">
        <f t="shared" si="12"/>
        <v>0</v>
      </c>
      <c r="X26" s="63">
        <f t="shared" si="13"/>
        <v>0</v>
      </c>
      <c r="Y26" s="63">
        <f t="shared" si="14"/>
        <v>0</v>
      </c>
      <c r="AB26" s="53">
        <f t="shared" si="2"/>
        <v>5.2083333333333037E-2</v>
      </c>
      <c r="AC26" s="53">
        <f t="shared" si="3"/>
        <v>0</v>
      </c>
      <c r="AD26" s="53">
        <f t="shared" si="4"/>
        <v>0</v>
      </c>
      <c r="AE26" s="53">
        <f t="shared" si="5"/>
        <v>0</v>
      </c>
    </row>
    <row r="27" spans="1:31" x14ac:dyDescent="0.3">
      <c r="A27" s="44">
        <v>42025</v>
      </c>
      <c r="B27" s="45" t="str">
        <f t="shared" si="0"/>
        <v>Qua</v>
      </c>
      <c r="C27" s="24" t="s">
        <v>39</v>
      </c>
      <c r="D27" s="46">
        <v>0.33333333333333298</v>
      </c>
      <c r="E27" s="46">
        <v>0.5</v>
      </c>
      <c r="F27" s="46">
        <v>0.55208333333333304</v>
      </c>
      <c r="G27" s="46">
        <v>0.75208333333333299</v>
      </c>
      <c r="I27" s="47">
        <f t="shared" si="1"/>
        <v>0.36666666666666697</v>
      </c>
      <c r="K27" s="48">
        <f>IF(C27&lt;&gt;"Falta Justificada",IF(VLOOKUP(B27,$Q$9:$V$15,6,0)&gt;(I27+Cadastro!$B$10),VLOOKUP(B27,$Q$9:$V$15,6,0)-I27,0),0)</f>
        <v>0</v>
      </c>
      <c r="M27" s="48">
        <f>IF(VLOOKUP(B27,$Q$9:$V$15,6,0)-(I27-Cadastro!$B$10)&lt;0,ABS(VLOOKUP(B27,$Q$9:$V$15,6,0)-I27),0)</f>
        <v>0</v>
      </c>
      <c r="O27" s="49"/>
      <c r="Q27" s="62" t="s">
        <v>60</v>
      </c>
      <c r="R27" s="63">
        <f t="shared" si="8"/>
        <v>0</v>
      </c>
      <c r="S27" s="64">
        <f>Cadastro!$B$2</f>
        <v>0.25</v>
      </c>
      <c r="T27" s="63">
        <f t="shared" si="9"/>
        <v>0</v>
      </c>
      <c r="U27" s="63">
        <f t="shared" si="10"/>
        <v>0</v>
      </c>
      <c r="V27" s="63">
        <f t="shared" si="11"/>
        <v>0</v>
      </c>
      <c r="W27" s="63">
        <f t="shared" si="12"/>
        <v>0.10624999999999996</v>
      </c>
      <c r="X27" s="63">
        <f t="shared" si="13"/>
        <v>0.10624999999999996</v>
      </c>
      <c r="Y27" s="63">
        <f t="shared" si="14"/>
        <v>0</v>
      </c>
      <c r="AB27" s="53">
        <f t="shared" si="2"/>
        <v>5.2083333333333037E-2</v>
      </c>
      <c r="AC27" s="53">
        <f t="shared" si="3"/>
        <v>0</v>
      </c>
      <c r="AD27" s="53">
        <f t="shared" si="4"/>
        <v>0</v>
      </c>
      <c r="AE27" s="53">
        <f t="shared" si="5"/>
        <v>0</v>
      </c>
    </row>
    <row r="28" spans="1:31" x14ac:dyDescent="0.3">
      <c r="A28" s="44">
        <v>42026</v>
      </c>
      <c r="B28" s="45" t="str">
        <f t="shared" si="0"/>
        <v>Qui</v>
      </c>
      <c r="C28" s="24" t="s">
        <v>39</v>
      </c>
      <c r="D28" s="46">
        <v>0.33333333333333298</v>
      </c>
      <c r="E28" s="46">
        <v>0.5</v>
      </c>
      <c r="F28" s="46">
        <v>0.55208333333333304</v>
      </c>
      <c r="G28" s="46">
        <v>0.75208333333333299</v>
      </c>
      <c r="I28" s="47">
        <f t="shared" si="1"/>
        <v>0.36666666666666697</v>
      </c>
      <c r="K28" s="48">
        <f>IF(C28&lt;&gt;"Falta Justificada",IF(VLOOKUP(B28,$Q$9:$V$15,6,0)&gt;(I28+Cadastro!$B$10),VLOOKUP(B28,$Q$9:$V$15,6,0)-I28,0),0)</f>
        <v>0</v>
      </c>
      <c r="M28" s="48">
        <f>IF(VLOOKUP(B28,$Q$9:$V$15,6,0)-(I28-Cadastro!$B$10)&lt;0,ABS(VLOOKUP(B28,$Q$9:$V$15,6,0)-I28),0)</f>
        <v>0</v>
      </c>
      <c r="O28" s="49"/>
      <c r="Q28" s="62" t="s">
        <v>61</v>
      </c>
      <c r="R28" s="63">
        <f t="shared" si="8"/>
        <v>0.5805555555555546</v>
      </c>
      <c r="S28" s="64">
        <f>Cadastro!$B$2</f>
        <v>0.25</v>
      </c>
      <c r="T28" s="63">
        <f t="shared" si="9"/>
        <v>0.72569444444444331</v>
      </c>
      <c r="U28" s="63">
        <f t="shared" si="10"/>
        <v>0</v>
      </c>
      <c r="V28" s="63">
        <f t="shared" si="11"/>
        <v>0.72569444444444331</v>
      </c>
      <c r="W28" s="63">
        <f t="shared" si="12"/>
        <v>0</v>
      </c>
      <c r="X28" s="63">
        <f t="shared" si="13"/>
        <v>0</v>
      </c>
      <c r="Y28" s="63">
        <f t="shared" si="14"/>
        <v>0</v>
      </c>
      <c r="AB28" s="53">
        <f t="shared" si="2"/>
        <v>5.2083333333333037E-2</v>
      </c>
      <c r="AC28" s="53">
        <f t="shared" si="3"/>
        <v>0</v>
      </c>
      <c r="AD28" s="53">
        <f t="shared" si="4"/>
        <v>0</v>
      </c>
      <c r="AE28" s="53">
        <f t="shared" si="5"/>
        <v>0</v>
      </c>
    </row>
    <row r="29" spans="1:31" x14ac:dyDescent="0.3">
      <c r="A29" s="44">
        <v>42027</v>
      </c>
      <c r="B29" s="45" t="str">
        <f t="shared" si="0"/>
        <v>Sex</v>
      </c>
      <c r="C29" s="24" t="s">
        <v>39</v>
      </c>
      <c r="D29" s="46">
        <v>0.33333333333333298</v>
      </c>
      <c r="E29" s="46">
        <v>0.5</v>
      </c>
      <c r="F29" s="46">
        <v>0.55208333333333304</v>
      </c>
      <c r="G29" s="46">
        <v>0.75208333333333299</v>
      </c>
      <c r="I29" s="47">
        <f t="shared" si="1"/>
        <v>0.36666666666666697</v>
      </c>
      <c r="K29" s="48">
        <f>IF(C29&lt;&gt;"Falta Justificada",IF(VLOOKUP(B29,$Q$9:$V$15,6,0)&gt;(I29+Cadastro!$B$10),VLOOKUP(B29,$Q$9:$V$15,6,0)-I29,0),0)</f>
        <v>0</v>
      </c>
      <c r="M29" s="48">
        <f>IF(VLOOKUP(B29,$Q$9:$V$15,6,0)-(I29-Cadastro!$B$10)&lt;0,ABS(VLOOKUP(B29,$Q$9:$V$15,6,0)-I29),0)</f>
        <v>0</v>
      </c>
      <c r="O29" s="49"/>
      <c r="Q29" s="62" t="s">
        <v>62</v>
      </c>
      <c r="R29" s="63">
        <f t="shared" si="8"/>
        <v>0</v>
      </c>
      <c r="S29" s="64">
        <f>Cadastro!$B$2</f>
        <v>0.25</v>
      </c>
      <c r="T29" s="63">
        <f t="shared" si="9"/>
        <v>0</v>
      </c>
      <c r="U29" s="63">
        <f t="shared" si="10"/>
        <v>0</v>
      </c>
      <c r="V29" s="63">
        <f t="shared" si="11"/>
        <v>0</v>
      </c>
      <c r="W29" s="63">
        <f t="shared" si="12"/>
        <v>1.1111111111111016E-2</v>
      </c>
      <c r="X29" s="63">
        <f t="shared" si="13"/>
        <v>1.1111111111111016E-2</v>
      </c>
      <c r="Y29" s="63">
        <f t="shared" si="14"/>
        <v>0</v>
      </c>
      <c r="AB29" s="53">
        <f t="shared" si="2"/>
        <v>5.2083333333333037E-2</v>
      </c>
      <c r="AC29" s="53">
        <f t="shared" si="3"/>
        <v>0</v>
      </c>
      <c r="AD29" s="53">
        <f t="shared" si="4"/>
        <v>0</v>
      </c>
      <c r="AE29" s="53">
        <f t="shared" si="5"/>
        <v>0</v>
      </c>
    </row>
    <row r="30" spans="1:31" x14ac:dyDescent="0.3">
      <c r="A30" s="44">
        <v>42028</v>
      </c>
      <c r="B30" s="45" t="str">
        <f t="shared" si="0"/>
        <v>Sáb</v>
      </c>
      <c r="C30" s="24" t="s">
        <v>39</v>
      </c>
      <c r="D30" s="46">
        <v>0.33333333333333298</v>
      </c>
      <c r="E30" s="46"/>
      <c r="F30" s="46"/>
      <c r="G30" s="46">
        <v>0.5</v>
      </c>
      <c r="I30" s="47">
        <f t="shared" si="1"/>
        <v>0.16666666666666702</v>
      </c>
      <c r="K30" s="48">
        <f>IF(C30&lt;&gt;"Falta Justificada",IF(VLOOKUP(B30,$Q$9:$V$15,6,0)&gt;(I30+Cadastro!$B$10),VLOOKUP(B30,$Q$9:$V$15,6,0)-I30,0),0)</f>
        <v>0</v>
      </c>
      <c r="M30" s="48">
        <f>IF(VLOOKUP(B30,$Q$9:$V$15,6,0)-(I30-Cadastro!$B$10)&lt;0,ABS(VLOOKUP(B30,$Q$9:$V$15,6,0)-I30),0)</f>
        <v>0</v>
      </c>
      <c r="O30" s="49"/>
      <c r="Q30" s="62" t="s">
        <v>63</v>
      </c>
      <c r="R30" s="63">
        <f t="shared" si="8"/>
        <v>0</v>
      </c>
      <c r="S30" s="64">
        <f>Cadastro!$B$3</f>
        <v>0.4</v>
      </c>
      <c r="T30" s="63">
        <f t="shared" si="9"/>
        <v>0</v>
      </c>
      <c r="U30" s="63">
        <f t="shared" si="10"/>
        <v>0</v>
      </c>
      <c r="V30" s="63">
        <f t="shared" si="11"/>
        <v>0</v>
      </c>
      <c r="W30" s="63">
        <f t="shared" si="12"/>
        <v>0.16666666666666702</v>
      </c>
      <c r="X30" s="63">
        <f t="shared" si="13"/>
        <v>0</v>
      </c>
      <c r="Y30" s="63">
        <f t="shared" si="14"/>
        <v>0</v>
      </c>
      <c r="AB30" s="53">
        <f t="shared" si="2"/>
        <v>0</v>
      </c>
      <c r="AC30" s="53">
        <f t="shared" si="3"/>
        <v>0</v>
      </c>
      <c r="AD30" s="53">
        <f t="shared" si="4"/>
        <v>0</v>
      </c>
      <c r="AE30" s="53">
        <f t="shared" si="5"/>
        <v>0</v>
      </c>
    </row>
    <row r="31" spans="1:31" x14ac:dyDescent="0.3">
      <c r="A31" s="44">
        <v>42029</v>
      </c>
      <c r="B31" s="45" t="str">
        <f t="shared" si="0"/>
        <v>Dom</v>
      </c>
      <c r="C31" s="24"/>
      <c r="D31" s="46"/>
      <c r="E31" s="46"/>
      <c r="F31" s="46"/>
      <c r="G31" s="46"/>
      <c r="I31" s="47">
        <f t="shared" si="1"/>
        <v>0</v>
      </c>
      <c r="K31" s="48">
        <f>IF(C31&lt;&gt;"Falta Justificada",IF(VLOOKUP(B31,$Q$9:$V$15,6,0)&gt;(I31+Cadastro!$B$10),VLOOKUP(B31,$Q$9:$V$15,6,0)-I31,0),0)</f>
        <v>0</v>
      </c>
      <c r="M31" s="48">
        <f>IF(VLOOKUP(B31,$Q$9:$V$15,6,0)-(I31-Cadastro!$B$10)&lt;0,ABS(VLOOKUP(B31,$Q$9:$V$15,6,0)-I31),0)</f>
        <v>0</v>
      </c>
      <c r="O31" s="49"/>
      <c r="Q31" s="62" t="s">
        <v>42</v>
      </c>
      <c r="R31" s="63">
        <f>SUMIF($C:$C,Q31,I:I)</f>
        <v>0.35555555555555596</v>
      </c>
      <c r="S31" s="64">
        <f>Cadastro!$B$7</f>
        <v>1</v>
      </c>
      <c r="T31" s="63">
        <f t="shared" si="9"/>
        <v>0.71111111111111192</v>
      </c>
      <c r="U31" s="63">
        <f>SUMIFS($I:$I,$O:$O,"Banco de horas",$C:$C,Q31)*(1+S31)</f>
        <v>0.71111111111111192</v>
      </c>
      <c r="V31" s="63">
        <f>SUMIFS($I:$I,$O:$O,"Hora extra",$C:$C,Q31)*(1+S31)</f>
        <v>0</v>
      </c>
      <c r="W31" s="65"/>
      <c r="X31" s="65"/>
      <c r="Y31" s="65"/>
      <c r="AB31" s="53">
        <f t="shared" si="2"/>
        <v>0</v>
      </c>
      <c r="AC31" s="53">
        <f t="shared" si="3"/>
        <v>0</v>
      </c>
      <c r="AD31" s="53">
        <f t="shared" si="4"/>
        <v>0</v>
      </c>
      <c r="AE31" s="53">
        <f t="shared" si="5"/>
        <v>0</v>
      </c>
    </row>
    <row r="32" spans="1:31" x14ac:dyDescent="0.3">
      <c r="A32" s="44">
        <v>42030</v>
      </c>
      <c r="B32" s="45" t="str">
        <f t="shared" si="0"/>
        <v>Seg</v>
      </c>
      <c r="C32" s="24" t="s">
        <v>39</v>
      </c>
      <c r="D32" s="46">
        <v>0.33333333333333298</v>
      </c>
      <c r="E32" s="46">
        <v>0.5</v>
      </c>
      <c r="F32" s="46">
        <v>0.55208333333333304</v>
      </c>
      <c r="G32" s="46">
        <v>0.75208333333333299</v>
      </c>
      <c r="I32" s="47">
        <f t="shared" si="1"/>
        <v>0.36666666666666697</v>
      </c>
      <c r="K32" s="48">
        <f>IF(C32&lt;&gt;"Falta Justificada",IF(VLOOKUP(B32,$Q$9:$V$15,6,0)&gt;(I32+Cadastro!$B$10),VLOOKUP(B32,$Q$9:$V$15,6,0)-I32,0),0)</f>
        <v>0</v>
      </c>
      <c r="M32" s="48">
        <f>IF(VLOOKUP(B32,$Q$9:$V$15,6,0)-(I32-Cadastro!$B$10)&lt;0,ABS(VLOOKUP(B32,$Q$9:$V$15,6,0)-I32),0)</f>
        <v>0</v>
      </c>
      <c r="O32" s="49"/>
      <c r="Q32" s="62" t="s">
        <v>46</v>
      </c>
      <c r="R32" s="63">
        <f>SUMIF($C:$C,Q32,I:I)</f>
        <v>0.16666666666666702</v>
      </c>
      <c r="S32" s="64">
        <f>Cadastro!$B$6</f>
        <v>0.5</v>
      </c>
      <c r="T32" s="63">
        <f t="shared" si="9"/>
        <v>0.25000000000000056</v>
      </c>
      <c r="U32" s="63">
        <f>SUMIFS($I:$I,$O:$O,"Banco de horas",$C:$C,Q32)*(1+S32)</f>
        <v>0</v>
      </c>
      <c r="V32" s="63">
        <f>SUMIFS($I:$I,$O:$O,"Hora extra",$C:$C,Q32)*(1+S32)</f>
        <v>0</v>
      </c>
      <c r="AB32" s="53">
        <f t="shared" si="2"/>
        <v>5.2083333333333037E-2</v>
      </c>
      <c r="AC32" s="53">
        <f t="shared" si="3"/>
        <v>0</v>
      </c>
      <c r="AD32" s="53">
        <f t="shared" si="4"/>
        <v>0</v>
      </c>
      <c r="AE32" s="53">
        <f t="shared" si="5"/>
        <v>0</v>
      </c>
    </row>
    <row r="33" spans="1:31" x14ac:dyDescent="0.3">
      <c r="A33" s="44">
        <v>42031</v>
      </c>
      <c r="B33" s="45" t="str">
        <f t="shared" si="0"/>
        <v>Ter</v>
      </c>
      <c r="C33" s="24" t="s">
        <v>39</v>
      </c>
      <c r="D33" s="46">
        <v>0.33333333333333298</v>
      </c>
      <c r="E33" s="46">
        <v>0.5</v>
      </c>
      <c r="F33" s="46">
        <v>0.55208333333333304</v>
      </c>
      <c r="G33" s="46">
        <v>0.75208333333333299</v>
      </c>
      <c r="I33" s="47">
        <f t="shared" si="1"/>
        <v>0.36666666666666697</v>
      </c>
      <c r="K33" s="48">
        <f>IF(C33&lt;&gt;"Falta Justificada",IF(VLOOKUP(B33,$Q$9:$V$15,6,0)&gt;(I33+Cadastro!$B$10),VLOOKUP(B33,$Q$9:$V$15,6,0)-I33,0),0)</f>
        <v>0</v>
      </c>
      <c r="M33" s="48">
        <f>IF(VLOOKUP(B33,$Q$9:$V$15,6,0)-(I33-Cadastro!$B$10)&lt;0,ABS(VLOOKUP(B33,$Q$9:$V$15,6,0)-I33),0)</f>
        <v>0</v>
      </c>
      <c r="O33" s="49"/>
      <c r="Q33" s="62" t="s">
        <v>15</v>
      </c>
      <c r="R33" s="63">
        <f>SUM(AC:AC)-$AC$5</f>
        <v>3.1249999999999736E-2</v>
      </c>
      <c r="S33" s="64">
        <f>Cadastro!$B$9</f>
        <v>0.3</v>
      </c>
      <c r="T33" s="63">
        <f t="shared" si="9"/>
        <v>4.0624999999999661E-2</v>
      </c>
      <c r="U33" s="63">
        <f>SUMIF($O:$O,"Banco de horas",$AC:$AC)*(1+$S$33)</f>
        <v>0</v>
      </c>
      <c r="V33" s="63">
        <f>SUMIF($O:$O,"Hora extra",$AC:$AC)*(1+$S$33)</f>
        <v>4.0624999999999661E-2</v>
      </c>
      <c r="AB33" s="53">
        <f t="shared" si="2"/>
        <v>5.2083333333333037E-2</v>
      </c>
      <c r="AC33" s="53">
        <f t="shared" si="3"/>
        <v>0</v>
      </c>
      <c r="AD33" s="53">
        <f t="shared" si="4"/>
        <v>0</v>
      </c>
      <c r="AE33" s="53">
        <f t="shared" si="5"/>
        <v>0</v>
      </c>
    </row>
    <row r="34" spans="1:31" x14ac:dyDescent="0.3">
      <c r="A34" s="44">
        <v>42032</v>
      </c>
      <c r="B34" s="45" t="str">
        <f t="shared" si="0"/>
        <v>Qua</v>
      </c>
      <c r="C34" s="24" t="s">
        <v>39</v>
      </c>
      <c r="D34" s="46">
        <v>0.33333333333333298</v>
      </c>
      <c r="E34" s="46">
        <v>0.5</v>
      </c>
      <c r="F34" s="46">
        <v>0.55208333333333304</v>
      </c>
      <c r="G34" s="46">
        <v>0.75208333333333299</v>
      </c>
      <c r="I34" s="47">
        <f t="shared" si="1"/>
        <v>0.36666666666666697</v>
      </c>
      <c r="K34" s="48">
        <f>IF(C34&lt;&gt;"Falta Justificada",IF(VLOOKUP(B34,$Q$9:$V$15,6,0)&gt;(I34+Cadastro!$B$10),VLOOKUP(B34,$Q$9:$V$15,6,0)-I34,0),0)</f>
        <v>0</v>
      </c>
      <c r="M34" s="48">
        <f>IF(VLOOKUP(B34,$Q$9:$V$15,6,0)-(I34-Cadastro!$B$10)&lt;0,ABS(VLOOKUP(B34,$Q$9:$V$15,6,0)-I34),0)</f>
        <v>0</v>
      </c>
      <c r="O34" s="49"/>
      <c r="Q34" s="62" t="s">
        <v>14</v>
      </c>
      <c r="R34" s="63">
        <f>SUM(AD:AD)-$AD$5</f>
        <v>0.41597222222222158</v>
      </c>
      <c r="S34" s="64">
        <f>Cadastro!B8</f>
        <v>0.3</v>
      </c>
      <c r="T34" s="63">
        <f t="shared" si="9"/>
        <v>0.54076388888888804</v>
      </c>
      <c r="U34" s="63">
        <f>SUMIF($O:$O,"Banco de horas",$AD:$AD)*(1+$S$34)</f>
        <v>0</v>
      </c>
      <c r="V34" s="63">
        <f>SUMIF($O:$O,"Hora extra",$AD:$AD)*(1+$S$34)</f>
        <v>0.54076388888888804</v>
      </c>
      <c r="AB34" s="53">
        <f t="shared" si="2"/>
        <v>5.2083333333333037E-2</v>
      </c>
      <c r="AC34" s="53">
        <f t="shared" si="3"/>
        <v>0</v>
      </c>
      <c r="AD34" s="53">
        <f t="shared" si="4"/>
        <v>0</v>
      </c>
      <c r="AE34" s="53">
        <f t="shared" si="5"/>
        <v>0</v>
      </c>
    </row>
    <row r="35" spans="1:31" x14ac:dyDescent="0.3">
      <c r="A35" s="44">
        <v>42033</v>
      </c>
      <c r="B35" s="45" t="str">
        <f t="shared" si="0"/>
        <v>Qui</v>
      </c>
      <c r="C35" s="24" t="s">
        <v>39</v>
      </c>
      <c r="D35" s="46">
        <v>0.33333333333333298</v>
      </c>
      <c r="E35" s="46">
        <v>0.5</v>
      </c>
      <c r="F35" s="46">
        <v>0.55208333333333304</v>
      </c>
      <c r="G35" s="46">
        <v>0.75208333333333299</v>
      </c>
      <c r="I35" s="47">
        <f t="shared" si="1"/>
        <v>0.36666666666666697</v>
      </c>
      <c r="K35" s="48">
        <f>IF(C35&lt;&gt;"Falta Justificada",IF(VLOOKUP(B35,$Q$9:$V$15,6,0)&gt;(I35+Cadastro!$B$10),VLOOKUP(B35,$Q$9:$V$15,6,0)-I35,0),0)</f>
        <v>0</v>
      </c>
      <c r="M35" s="48">
        <f>IF(VLOOKUP(B35,$Q$9:$V$15,6,0)-(I35-Cadastro!$B$10)&lt;0,ABS(VLOOKUP(B35,$Q$9:$V$15,6,0)-I35),0)</f>
        <v>0</v>
      </c>
      <c r="O35" s="49"/>
      <c r="Q35" s="62" t="s">
        <v>11</v>
      </c>
      <c r="R35" s="63">
        <f>SUM(AE:AE)-SUM(AE4:AE5)</f>
        <v>0.24930555555555456</v>
      </c>
      <c r="S35" s="64">
        <f>Cadastro!B5</f>
        <v>0.5</v>
      </c>
      <c r="T35" s="63">
        <f t="shared" si="9"/>
        <v>0.37395833333333184</v>
      </c>
      <c r="U35" s="63">
        <f>SUMIF($O:$O,"Banco de horas",$AE:$AE)*(1+$S$35)</f>
        <v>0</v>
      </c>
      <c r="V35" s="63">
        <f>SUMIF($O:$O,"Hora extra",$AE:$AE)*(1+$S$35)</f>
        <v>0.37395833333333195</v>
      </c>
      <c r="AB35" s="53">
        <f t="shared" si="2"/>
        <v>5.2083333333333037E-2</v>
      </c>
      <c r="AC35" s="53">
        <f t="shared" si="3"/>
        <v>0</v>
      </c>
      <c r="AD35" s="53">
        <f t="shared" si="4"/>
        <v>0</v>
      </c>
      <c r="AE35" s="53">
        <f t="shared" si="5"/>
        <v>0</v>
      </c>
    </row>
    <row r="36" spans="1:31" x14ac:dyDescent="0.3">
      <c r="A36" s="44">
        <v>42034</v>
      </c>
      <c r="B36" s="45" t="str">
        <f t="shared" si="0"/>
        <v>Sex</v>
      </c>
      <c r="C36" s="24" t="s">
        <v>39</v>
      </c>
      <c r="D36" s="46">
        <v>0.33333333333333298</v>
      </c>
      <c r="E36" s="46">
        <v>0.5</v>
      </c>
      <c r="F36" s="46">
        <v>0.55208333333333304</v>
      </c>
      <c r="G36" s="46">
        <v>0.75208333333333299</v>
      </c>
      <c r="I36" s="47">
        <f t="shared" si="1"/>
        <v>0.36666666666666697</v>
      </c>
      <c r="K36" s="48">
        <f>IF(C36&lt;&gt;"Falta Justificada",IF(VLOOKUP(B36,$Q$9:$V$15,6,0)&gt;(I36+Cadastro!$B$10),VLOOKUP(B36,$Q$9:$V$15,6,0)-I36,0),0)</f>
        <v>0</v>
      </c>
      <c r="M36" s="48">
        <f>IF(VLOOKUP(B36,$Q$9:$V$15,6,0)-(I36-Cadastro!$B$10)&lt;0,ABS(VLOOKUP(B36,$Q$9:$V$15,6,0)-I36),0)</f>
        <v>0</v>
      </c>
      <c r="O36" s="49"/>
      <c r="AB36" s="53">
        <f t="shared" si="2"/>
        <v>5.2083333333333037E-2</v>
      </c>
      <c r="AC36" s="53">
        <f t="shared" si="3"/>
        <v>0</v>
      </c>
      <c r="AD36" s="53">
        <f t="shared" si="4"/>
        <v>0</v>
      </c>
      <c r="AE36" s="53">
        <f t="shared" si="5"/>
        <v>0</v>
      </c>
    </row>
    <row r="37" spans="1:31" x14ac:dyDescent="0.3">
      <c r="A37" s="44">
        <v>42035</v>
      </c>
      <c r="B37" s="45" t="str">
        <f t="shared" si="0"/>
        <v>Sáb</v>
      </c>
      <c r="C37" s="24" t="s">
        <v>39</v>
      </c>
      <c r="D37" s="46">
        <v>0.33333333333333298</v>
      </c>
      <c r="E37" s="46"/>
      <c r="F37" s="46"/>
      <c r="G37" s="46">
        <v>0.5</v>
      </c>
      <c r="I37" s="47">
        <f t="shared" si="1"/>
        <v>0.16666666666666702</v>
      </c>
      <c r="K37" s="48">
        <f>IF(C37&lt;&gt;"Falta Justificada",IF(VLOOKUP(B37,$Q$9:$V$15,6,0)&gt;(I37+Cadastro!$B$10),VLOOKUP(B37,$Q$9:$V$15,6,0)-I37,0),0)</f>
        <v>0</v>
      </c>
      <c r="M37" s="48">
        <f>IF(VLOOKUP(B37,$Q$9:$V$15,6,0)-(I37-Cadastro!$B$10)&lt;0,ABS(VLOOKUP(B37,$Q$9:$V$15,6,0)-I37),0)</f>
        <v>0</v>
      </c>
      <c r="O37" s="49"/>
      <c r="AB37" s="53">
        <f t="shared" si="2"/>
        <v>0</v>
      </c>
      <c r="AC37" s="53">
        <f t="shared" si="3"/>
        <v>0</v>
      </c>
      <c r="AD37" s="53">
        <f t="shared" si="4"/>
        <v>0</v>
      </c>
      <c r="AE37" s="53">
        <f t="shared" si="5"/>
        <v>0</v>
      </c>
    </row>
    <row r="39" spans="1:31" x14ac:dyDescent="0.3">
      <c r="A39" s="66"/>
      <c r="C39" s="66"/>
      <c r="E39" s="66"/>
      <c r="G39" s="66"/>
      <c r="I39" s="66"/>
      <c r="K39" s="66"/>
      <c r="M39" s="66"/>
      <c r="O39" s="66"/>
      <c r="Q39" s="66"/>
      <c r="S39" s="66"/>
      <c r="U39" s="66"/>
    </row>
  </sheetData>
  <mergeCells count="10">
    <mergeCell ref="Q7:W7"/>
    <mergeCell ref="S8:T8"/>
    <mergeCell ref="Q17:S17"/>
    <mergeCell ref="Q18:R18"/>
    <mergeCell ref="Q22:Y22"/>
    <mergeCell ref="M1:O1"/>
    <mergeCell ref="M2:N2"/>
    <mergeCell ref="M3:N3"/>
    <mergeCell ref="A6:B6"/>
    <mergeCell ref="E6:F6"/>
  </mergeCells>
  <conditionalFormatting sqref="B7:B37">
    <cfRule type="expression" dxfId="28" priority="2">
      <formula>IF(OR(B7="Sáb",B7="Dom"),1,0)=1</formula>
    </cfRule>
  </conditionalFormatting>
  <conditionalFormatting sqref="I7:M37">
    <cfRule type="cellIs" dxfId="27" priority="3" operator="equal">
      <formula>0</formula>
    </cfRule>
  </conditionalFormatting>
  <conditionalFormatting sqref="M7:M37">
    <cfRule type="cellIs" dxfId="26" priority="4" operator="greaterThan">
      <formula>0</formula>
    </cfRule>
  </conditionalFormatting>
  <conditionalFormatting sqref="K7:K37">
    <cfRule type="cellIs" dxfId="25" priority="5" operator="greaterThan">
      <formula>0</formula>
    </cfRule>
  </conditionalFormatting>
  <conditionalFormatting sqref="D7:G37">
    <cfRule type="expression" dxfId="24" priority="6">
      <formula>IF(OR($I7=0,AND($D7&gt;0,$B7&gt;0,$F7&gt;0,$G7&gt;0)),1,0)=0</formula>
    </cfRule>
  </conditionalFormatting>
  <conditionalFormatting sqref="N7:O37">
    <cfRule type="cellIs" dxfId="23" priority="7" operator="equal">
      <formula>0</formula>
    </cfRule>
  </conditionalFormatting>
  <conditionalFormatting sqref="O7:O37">
    <cfRule type="cellIs" dxfId="22" priority="8" operator="equal">
      <formula>"Hora extra"</formula>
    </cfRule>
    <cfRule type="cellIs" dxfId="21" priority="9" operator="equal">
      <formula>"Banco de horas"</formula>
    </cfRule>
    <cfRule type="cellIs" dxfId="20" priority="10" operator="greaterThan">
      <formula>0</formula>
    </cfRule>
  </conditionalFormatting>
  <dataValidations count="2">
    <dataValidation type="list" allowBlank="1" showInputMessage="1" showErrorMessage="1" sqref="O7:O37" xr:uid="{00000000-0002-0000-0400-000000000000}">
      <formula1>"Banco de horas,Hora extra"</formula1>
      <formula2>0</formula2>
    </dataValidation>
    <dataValidation type="list" allowBlank="1" showInputMessage="1" showErrorMessage="1" sqref="C7:C37" xr:uid="{00000000-0002-0000-0400-000001000000}">
      <formula1>"Normal,Feriado,Folga(DSR),Falta Justificada"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F37"/>
  <sheetViews>
    <sheetView showGridLines="0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O8" sqref="O8"/>
    </sheetView>
  </sheetViews>
  <sheetFormatPr defaultColWidth="8.5546875" defaultRowHeight="14.4" x14ac:dyDescent="0.3"/>
  <cols>
    <col min="1" max="1" width="15.6640625" customWidth="1"/>
    <col min="3" max="3" width="15.109375" customWidth="1"/>
    <col min="4" max="4" width="9.5546875" customWidth="1"/>
    <col min="8" max="8" width="1.109375" customWidth="1"/>
    <col min="9" max="9" width="11.33203125" customWidth="1"/>
    <col min="10" max="10" width="1.109375" customWidth="1"/>
    <col min="11" max="11" width="14.6640625" customWidth="1"/>
    <col min="12" max="12" width="1.109375" customWidth="1"/>
    <col min="13" max="13" width="11.88671875" customWidth="1"/>
    <col min="14" max="14" width="1.109375" customWidth="1"/>
    <col min="15" max="15" width="14.44140625" customWidth="1"/>
    <col min="16" max="16" width="4.33203125" customWidth="1"/>
    <col min="17" max="17" width="11.33203125" customWidth="1"/>
    <col min="18" max="18" width="16.33203125" style="27" customWidth="1"/>
    <col min="19" max="19" width="9.5546875" customWidth="1"/>
    <col min="20" max="20" width="10.33203125" style="27" customWidth="1"/>
    <col min="21" max="21" width="10.44140625" customWidth="1"/>
    <col min="22" max="22" width="10.33203125" style="27" customWidth="1"/>
    <col min="23" max="23" width="10.44140625" customWidth="1"/>
    <col min="24" max="24" width="16.33203125" customWidth="1"/>
    <col min="28" max="28" width="10.88671875" customWidth="1"/>
    <col min="29" max="30" width="11.88671875" customWidth="1"/>
    <col min="31" max="31" width="10.6640625" customWidth="1"/>
  </cols>
  <sheetData>
    <row r="1" spans="1:32" x14ac:dyDescent="0.3">
      <c r="A1" s="28" t="s">
        <v>17</v>
      </c>
      <c r="B1" s="5" t="s">
        <v>8</v>
      </c>
      <c r="C1" s="5"/>
      <c r="D1" s="5"/>
      <c r="E1" s="5"/>
      <c r="F1" s="5"/>
      <c r="M1" s="13" t="s">
        <v>18</v>
      </c>
      <c r="N1" s="13"/>
      <c r="O1" s="13"/>
      <c r="Q1" s="19" t="s">
        <v>19</v>
      </c>
      <c r="R1" s="19" t="s">
        <v>20</v>
      </c>
      <c r="S1" s="19" t="s">
        <v>21</v>
      </c>
    </row>
    <row r="2" spans="1:32" x14ac:dyDescent="0.3">
      <c r="A2" s="28" t="s">
        <v>22</v>
      </c>
      <c r="B2" s="5" t="s">
        <v>64</v>
      </c>
      <c r="C2" s="5"/>
      <c r="D2" s="5"/>
      <c r="E2" s="5"/>
      <c r="F2" s="5"/>
      <c r="M2" s="12" t="s">
        <v>24</v>
      </c>
      <c r="N2" s="12"/>
      <c r="O2" s="32">
        <v>1.5763888888888899</v>
      </c>
      <c r="Q2" s="33">
        <v>3750</v>
      </c>
      <c r="R2" s="33">
        <v>220</v>
      </c>
      <c r="S2" s="33">
        <f>Q2/R2</f>
        <v>17.045454545454547</v>
      </c>
      <c r="AC2" s="34"/>
      <c r="AD2" s="34"/>
      <c r="AE2" s="34"/>
    </row>
    <row r="3" spans="1:32" x14ac:dyDescent="0.3">
      <c r="A3" s="28" t="s">
        <v>25</v>
      </c>
      <c r="B3" s="5" t="s">
        <v>65</v>
      </c>
      <c r="C3" s="5"/>
      <c r="D3" s="5"/>
      <c r="E3" s="5"/>
      <c r="F3" s="5"/>
      <c r="M3" s="11" t="s">
        <v>27</v>
      </c>
      <c r="N3" s="11"/>
      <c r="O3" s="35">
        <v>0</v>
      </c>
      <c r="AC3" s="34"/>
      <c r="AD3" s="34"/>
      <c r="AE3" s="34"/>
    </row>
    <row r="4" spans="1:32" x14ac:dyDescent="0.3">
      <c r="A4" s="28" t="s">
        <v>28</v>
      </c>
      <c r="B4" s="29" t="s">
        <v>66</v>
      </c>
      <c r="C4" s="30"/>
      <c r="D4" s="30"/>
      <c r="E4" s="30"/>
      <c r="F4" s="31"/>
      <c r="G4" s="36"/>
      <c r="AC4" s="34"/>
      <c r="AD4" s="34"/>
      <c r="AE4" s="37">
        <v>0.20833333333333301</v>
      </c>
    </row>
    <row r="5" spans="1:32" x14ac:dyDescent="0.3">
      <c r="AC5" s="37">
        <v>4.1666666666666699E-2</v>
      </c>
      <c r="AD5" s="37">
        <v>0.45833333333333298</v>
      </c>
      <c r="AE5" s="37">
        <v>0.91666666666666696</v>
      </c>
    </row>
    <row r="6" spans="1:32" x14ac:dyDescent="0.3">
      <c r="A6" s="10" t="s">
        <v>30</v>
      </c>
      <c r="B6" s="10"/>
      <c r="C6" s="39" t="s">
        <v>31</v>
      </c>
      <c r="D6" s="38" t="s">
        <v>32</v>
      </c>
      <c r="E6" s="10" t="s">
        <v>33</v>
      </c>
      <c r="F6" s="10"/>
      <c r="G6" s="38" t="s">
        <v>34</v>
      </c>
      <c r="H6" s="40"/>
      <c r="I6" s="38" t="s">
        <v>35</v>
      </c>
      <c r="J6" s="40"/>
      <c r="K6" s="38" t="s">
        <v>36</v>
      </c>
      <c r="L6" s="40"/>
      <c r="M6" s="38" t="s">
        <v>24</v>
      </c>
      <c r="N6" s="40"/>
      <c r="O6" s="38" t="s">
        <v>37</v>
      </c>
      <c r="AB6" s="41" t="s">
        <v>38</v>
      </c>
      <c r="AC6" s="42" t="s">
        <v>15</v>
      </c>
      <c r="AD6" s="42" t="s">
        <v>14</v>
      </c>
      <c r="AE6" s="43" t="s">
        <v>11</v>
      </c>
    </row>
    <row r="7" spans="1:32" x14ac:dyDescent="0.3">
      <c r="A7" s="44">
        <v>42005</v>
      </c>
      <c r="B7" s="45" t="str">
        <f t="shared" ref="B7:B37" si="0">PROPER(TEXT(WEEKDAY(A7),"ddd"))</f>
        <v>Qui</v>
      </c>
      <c r="C7" s="24" t="s">
        <v>42</v>
      </c>
      <c r="D7" s="46">
        <v>0.33333333333333298</v>
      </c>
      <c r="E7" s="46">
        <v>0.5</v>
      </c>
      <c r="F7" s="46">
        <v>0.55208333333333304</v>
      </c>
      <c r="G7" s="46">
        <v>0.79166666666666696</v>
      </c>
      <c r="I7" s="47">
        <f t="shared" ref="I7:I37" si="1">(E7-D7)+IF(G7&lt;F7,((1+G7)-F7),G7-F7)</f>
        <v>0.40625000000000094</v>
      </c>
      <c r="K7" s="48">
        <f>IF(C7&lt;&gt;"Falta Justificada",IF(VLOOKUP(B7,$Q$9:$V$15,6,0)&gt;(I7+Cadastro!$B$10),VLOOKUP(B7,$Q$9:$V$15,6,0)-I7,0),0)</f>
        <v>0</v>
      </c>
      <c r="M7" s="48">
        <f>IF(VLOOKUP(B7,$Q$9:$V$15,6,0)-(I7-Cadastro!$B$10)&lt;0,ABS(VLOOKUP(B7,$Q$9:$V$15,6,0)-I7),0)</f>
        <v>3.958333333333397E-2</v>
      </c>
      <c r="O7" s="49" t="s">
        <v>40</v>
      </c>
      <c r="Q7" s="9" t="s">
        <v>41</v>
      </c>
      <c r="R7" s="9"/>
      <c r="S7" s="9"/>
      <c r="T7" s="9"/>
      <c r="U7" s="9"/>
      <c r="V7" s="9"/>
      <c r="W7" s="9"/>
      <c r="AB7" s="50">
        <f t="shared" ref="AB7:AB37" si="2">F7-E7</f>
        <v>5.2083333333333037E-2</v>
      </c>
      <c r="AC7" s="50">
        <f t="shared" ref="AC7:AC37" si="3">IF(AND(F7&gt;0,E7&gt;0,$AC$5&gt;AB7),$AC$5-AB7,0)</f>
        <v>0</v>
      </c>
      <c r="AD7" s="50">
        <f t="shared" ref="AD7:AD37" si="4">IF(((1-G7)+D7)&lt;$AD$5,$AD$5-((1-G7)+D7),0)</f>
        <v>0</v>
      </c>
      <c r="AE7" s="50">
        <f t="shared" ref="AE7:AE37" si="5">IF(AND(D7&lt;$AE$4,D7&gt;0),$AE$4-D7,0)+IF(AND(G7&gt;$AE$5,G7&gt;0),G7-$AE$5,0)</f>
        <v>0</v>
      </c>
      <c r="AF7" s="36"/>
    </row>
    <row r="8" spans="1:32" x14ac:dyDescent="0.3">
      <c r="A8" s="44">
        <v>42006</v>
      </c>
      <c r="B8" s="45" t="str">
        <f t="shared" si="0"/>
        <v>Sex</v>
      </c>
      <c r="C8" s="24" t="s">
        <v>39</v>
      </c>
      <c r="D8" s="46">
        <v>0.33333333333333298</v>
      </c>
      <c r="E8" s="46">
        <v>0.5</v>
      </c>
      <c r="F8" s="46">
        <v>0.55208333333333304</v>
      </c>
      <c r="G8" s="46">
        <v>0.75208333333333299</v>
      </c>
      <c r="I8" s="47">
        <f t="shared" si="1"/>
        <v>0.36666666666666697</v>
      </c>
      <c r="K8" s="48">
        <f>IF(C8&lt;&gt;"Falta Justificada",IF(VLOOKUP(B8,$Q$9:$V$15,6,0)&gt;(I8+Cadastro!$B$10),VLOOKUP(B8,$Q$9:$V$15,6,0)-I8,0),0)</f>
        <v>0</v>
      </c>
      <c r="M8" s="48">
        <f>IF(VLOOKUP(B8,$Q$9:$V$15,6,0)-(I8-Cadastro!$B$10)&lt;0,ABS(VLOOKUP(B8,$Q$9:$V$15,6,0)-I8),0)</f>
        <v>0</v>
      </c>
      <c r="O8" s="49"/>
      <c r="Q8" s="51" t="s">
        <v>30</v>
      </c>
      <c r="R8" s="51" t="s">
        <v>32</v>
      </c>
      <c r="S8" s="8" t="s">
        <v>33</v>
      </c>
      <c r="T8" s="8"/>
      <c r="U8" s="52" t="s">
        <v>34</v>
      </c>
      <c r="V8" s="52" t="s">
        <v>44</v>
      </c>
      <c r="W8" s="52" t="s">
        <v>33</v>
      </c>
      <c r="AB8" s="53">
        <f t="shared" si="2"/>
        <v>5.2083333333333037E-2</v>
      </c>
      <c r="AC8" s="53">
        <f t="shared" si="3"/>
        <v>0</v>
      </c>
      <c r="AD8" s="53">
        <f t="shared" si="4"/>
        <v>0</v>
      </c>
      <c r="AE8" s="53">
        <f t="shared" si="5"/>
        <v>0</v>
      </c>
    </row>
    <row r="9" spans="1:32" x14ac:dyDescent="0.3">
      <c r="A9" s="44">
        <v>42007</v>
      </c>
      <c r="B9" s="45" t="str">
        <f t="shared" si="0"/>
        <v>Sáb</v>
      </c>
      <c r="C9" s="24"/>
      <c r="D9" s="46"/>
      <c r="E9" s="46"/>
      <c r="F9" s="46"/>
      <c r="G9" s="46"/>
      <c r="I9" s="47">
        <f t="shared" si="1"/>
        <v>0</v>
      </c>
      <c r="K9" s="48">
        <f>IF(C9&lt;&gt;"Falta Justificada",IF(VLOOKUP(B9,$Q$9:$V$15,6,0)&gt;(I9+Cadastro!$B$10),VLOOKUP(B9,$Q$9:$V$15,6,0)-I9,0),0)</f>
        <v>0</v>
      </c>
      <c r="M9" s="48">
        <f>IF(VLOOKUP(B9,$Q$9:$V$15,6,0)-(I9-Cadastro!$B$10)&lt;0,ABS(VLOOKUP(B9,$Q$9:$V$15,6,0)-I9),0)</f>
        <v>0</v>
      </c>
      <c r="O9" s="49"/>
      <c r="Q9" s="54" t="str">
        <f>PROPER(TEXT(1,"ddd"))</f>
        <v>Dom</v>
      </c>
      <c r="R9" s="46">
        <v>0</v>
      </c>
      <c r="S9" s="46">
        <v>0</v>
      </c>
      <c r="T9" s="46">
        <v>0</v>
      </c>
      <c r="U9" s="55">
        <v>0</v>
      </c>
      <c r="V9" s="53">
        <f t="shared" ref="V9:V15" si="6">(U9-R9)-(T9-S9)</f>
        <v>0</v>
      </c>
      <c r="W9" s="53">
        <f t="shared" ref="W9:W15" si="7">T9-S9</f>
        <v>0</v>
      </c>
      <c r="AB9" s="53">
        <f t="shared" si="2"/>
        <v>0</v>
      </c>
      <c r="AC9" s="53">
        <f t="shared" si="3"/>
        <v>0</v>
      </c>
      <c r="AD9" s="53">
        <f t="shared" si="4"/>
        <v>0</v>
      </c>
      <c r="AE9" s="53">
        <f t="shared" si="5"/>
        <v>0</v>
      </c>
    </row>
    <row r="10" spans="1:32" x14ac:dyDescent="0.3">
      <c r="A10" s="44">
        <v>42008</v>
      </c>
      <c r="B10" s="45" t="str">
        <f t="shared" si="0"/>
        <v>Dom</v>
      </c>
      <c r="C10" s="24"/>
      <c r="D10" s="46"/>
      <c r="E10" s="46"/>
      <c r="F10" s="46"/>
      <c r="G10" s="46"/>
      <c r="I10" s="47">
        <f t="shared" si="1"/>
        <v>0</v>
      </c>
      <c r="K10" s="48">
        <f>IF(C10&lt;&gt;"Falta Justificada",IF(VLOOKUP(B10,$Q$9:$V$15,6,0)&gt;(I10+Cadastro!$B$10),VLOOKUP(B10,$Q$9:$V$15,6,0)-I10,0),0)</f>
        <v>0</v>
      </c>
      <c r="M10" s="48">
        <f>IF(VLOOKUP(B10,$Q$9:$V$15,6,0)-(I10-Cadastro!$B$10)&lt;0,ABS(VLOOKUP(B10,$Q$9:$V$15,6,0)-I10),0)</f>
        <v>0</v>
      </c>
      <c r="O10" s="49"/>
      <c r="Q10" s="54" t="str">
        <f>PROPER(TEXT(2,"ddd"))</f>
        <v>Seg</v>
      </c>
      <c r="R10" s="46">
        <v>0.33333333333333298</v>
      </c>
      <c r="S10" s="56">
        <v>0.5</v>
      </c>
      <c r="T10" s="46">
        <v>0.55208333333333304</v>
      </c>
      <c r="U10" s="56">
        <v>0.75208333333333299</v>
      </c>
      <c r="V10" s="53">
        <f t="shared" si="6"/>
        <v>0.36666666666666697</v>
      </c>
      <c r="W10" s="53">
        <f t="shared" si="7"/>
        <v>5.2083333333333037E-2</v>
      </c>
      <c r="AB10" s="53">
        <f t="shared" si="2"/>
        <v>0</v>
      </c>
      <c r="AC10" s="53">
        <f t="shared" si="3"/>
        <v>0</v>
      </c>
      <c r="AD10" s="53">
        <f t="shared" si="4"/>
        <v>0</v>
      </c>
      <c r="AE10" s="53">
        <f t="shared" si="5"/>
        <v>0</v>
      </c>
    </row>
    <row r="11" spans="1:32" x14ac:dyDescent="0.3">
      <c r="A11" s="44">
        <v>42009</v>
      </c>
      <c r="B11" s="45" t="str">
        <f t="shared" si="0"/>
        <v>Seg</v>
      </c>
      <c r="C11" s="24" t="s">
        <v>45</v>
      </c>
      <c r="D11" s="46"/>
      <c r="E11" s="46"/>
      <c r="F11" s="46"/>
      <c r="G11" s="46"/>
      <c r="I11" s="47">
        <f t="shared" si="1"/>
        <v>0</v>
      </c>
      <c r="K11" s="48">
        <f>IF(C11&lt;&gt;"Falta Justificada",IF(VLOOKUP(B11,$Q$9:$V$15,6,0)&gt;(I11+Cadastro!$B$10),VLOOKUP(B11,$Q$9:$V$15,6,0)-I11,0),0)</f>
        <v>0</v>
      </c>
      <c r="M11" s="48">
        <f>IF(VLOOKUP(B11,$Q$9:$V$15,6,0)-(I11-Cadastro!$B$10)&lt;0,ABS(VLOOKUP(B11,$Q$9:$V$15,6,0)-I11),0)</f>
        <v>0</v>
      </c>
      <c r="O11" s="49"/>
      <c r="Q11" s="54" t="str">
        <f>PROPER(TEXT(3,"ddd"))</f>
        <v>Ter</v>
      </c>
      <c r="R11" s="46">
        <v>0.33333333333333298</v>
      </c>
      <c r="S11" s="56">
        <v>0.5</v>
      </c>
      <c r="T11" s="46">
        <v>0.55208333333333304</v>
      </c>
      <c r="U11" s="56">
        <v>0.75208333333333299</v>
      </c>
      <c r="V11" s="53">
        <f t="shared" si="6"/>
        <v>0.36666666666666697</v>
      </c>
      <c r="W11" s="53">
        <f t="shared" si="7"/>
        <v>5.2083333333333037E-2</v>
      </c>
      <c r="AB11" s="53">
        <f t="shared" si="2"/>
        <v>0</v>
      </c>
      <c r="AC11" s="53">
        <f t="shared" si="3"/>
        <v>0</v>
      </c>
      <c r="AD11" s="53">
        <f t="shared" si="4"/>
        <v>0</v>
      </c>
      <c r="AE11" s="53">
        <f t="shared" si="5"/>
        <v>0</v>
      </c>
    </row>
    <row r="12" spans="1:32" x14ac:dyDescent="0.3">
      <c r="A12" s="44">
        <v>42010</v>
      </c>
      <c r="B12" s="45" t="str">
        <f t="shared" si="0"/>
        <v>Ter</v>
      </c>
      <c r="C12" s="24" t="s">
        <v>39</v>
      </c>
      <c r="D12" s="46">
        <v>0.33333333333333298</v>
      </c>
      <c r="E12" s="46">
        <v>0.5</v>
      </c>
      <c r="F12" s="46">
        <v>0.55208333333333304</v>
      </c>
      <c r="G12" s="46">
        <v>0.75208333333333299</v>
      </c>
      <c r="I12" s="47">
        <f t="shared" si="1"/>
        <v>0.36666666666666697</v>
      </c>
      <c r="K12" s="48">
        <f>IF(C12&lt;&gt;"Falta Justificada",IF(VLOOKUP(B12,$Q$9:$V$15,6,0)&gt;(I12+Cadastro!$B$10),VLOOKUP(B12,$Q$9:$V$15,6,0)-I12,0),0)</f>
        <v>0</v>
      </c>
      <c r="M12" s="48">
        <f>IF(VLOOKUP(B12,$Q$9:$V$15,6,0)-(I12-Cadastro!$B$10)&lt;0,ABS(VLOOKUP(B12,$Q$9:$V$15,6,0)-I12),0)</f>
        <v>0</v>
      </c>
      <c r="O12" s="49"/>
      <c r="Q12" s="54" t="str">
        <f>PROPER(TEXT(4,"ddd"))</f>
        <v>Qua</v>
      </c>
      <c r="R12" s="46">
        <v>0.33333333333333298</v>
      </c>
      <c r="S12" s="56">
        <v>0.5</v>
      </c>
      <c r="T12" s="46">
        <v>0.55208333333333304</v>
      </c>
      <c r="U12" s="56">
        <v>0.75208333333333299</v>
      </c>
      <c r="V12" s="53">
        <f t="shared" si="6"/>
        <v>0.36666666666666697</v>
      </c>
      <c r="W12" s="53">
        <f t="shared" si="7"/>
        <v>5.2083333333333037E-2</v>
      </c>
      <c r="AB12" s="53">
        <f t="shared" si="2"/>
        <v>5.2083333333333037E-2</v>
      </c>
      <c r="AC12" s="53">
        <f t="shared" si="3"/>
        <v>0</v>
      </c>
      <c r="AD12" s="53">
        <f t="shared" si="4"/>
        <v>0</v>
      </c>
      <c r="AE12" s="53">
        <f t="shared" si="5"/>
        <v>0</v>
      </c>
    </row>
    <row r="13" spans="1:32" x14ac:dyDescent="0.3">
      <c r="A13" s="44">
        <v>42011</v>
      </c>
      <c r="B13" s="45" t="str">
        <f t="shared" si="0"/>
        <v>Qua</v>
      </c>
      <c r="C13" s="24" t="s">
        <v>39</v>
      </c>
      <c r="D13" s="46">
        <v>0.33333333333333298</v>
      </c>
      <c r="E13" s="46">
        <v>0.5</v>
      </c>
      <c r="F13" s="46">
        <v>0.59375</v>
      </c>
      <c r="G13" s="46">
        <v>0.6875</v>
      </c>
      <c r="I13" s="47">
        <f t="shared" si="1"/>
        <v>0.26041666666666702</v>
      </c>
      <c r="K13" s="48">
        <f>IF(C13&lt;&gt;"Falta Justificada",IF(VLOOKUP(B13,$Q$9:$V$15,6,0)&gt;(I13+Cadastro!$B$10),VLOOKUP(B13,$Q$9:$V$15,6,0)-I13,0),0)</f>
        <v>0.10624999999999996</v>
      </c>
      <c r="M13" s="48">
        <f>IF(VLOOKUP(B13,$Q$9:$V$15,6,0)-(I13-Cadastro!$B$10)&lt;0,ABS(VLOOKUP(B13,$Q$9:$V$15,6,0)-I13),0)</f>
        <v>0</v>
      </c>
      <c r="O13" s="49" t="s">
        <v>40</v>
      </c>
      <c r="Q13" s="54" t="str">
        <f>PROPER(TEXT(5,"ddd"))</f>
        <v>Qui</v>
      </c>
      <c r="R13" s="46">
        <v>0.33333333333333298</v>
      </c>
      <c r="S13" s="56">
        <v>0.5</v>
      </c>
      <c r="T13" s="46">
        <v>0.55208333333333304</v>
      </c>
      <c r="U13" s="56">
        <v>0.75208333333333299</v>
      </c>
      <c r="V13" s="53">
        <f t="shared" si="6"/>
        <v>0.36666666666666697</v>
      </c>
      <c r="W13" s="53">
        <f t="shared" si="7"/>
        <v>5.2083333333333037E-2</v>
      </c>
      <c r="AB13" s="53">
        <f t="shared" si="2"/>
        <v>9.375E-2</v>
      </c>
      <c r="AC13" s="53">
        <f t="shared" si="3"/>
        <v>0</v>
      </c>
      <c r="AD13" s="53">
        <f t="shared" si="4"/>
        <v>0</v>
      </c>
      <c r="AE13" s="53">
        <f t="shared" si="5"/>
        <v>0</v>
      </c>
    </row>
    <row r="14" spans="1:32" x14ac:dyDescent="0.3">
      <c r="A14" s="44">
        <v>42012</v>
      </c>
      <c r="B14" s="45" t="str">
        <f t="shared" si="0"/>
        <v>Qui</v>
      </c>
      <c r="C14" s="24" t="s">
        <v>39</v>
      </c>
      <c r="D14" s="46">
        <v>0.33333333333333298</v>
      </c>
      <c r="E14" s="46">
        <v>0.5</v>
      </c>
      <c r="F14" s="46">
        <v>0.52083333333333304</v>
      </c>
      <c r="G14" s="46">
        <v>0.75208333333333299</v>
      </c>
      <c r="I14" s="47">
        <f t="shared" si="1"/>
        <v>0.39791666666666697</v>
      </c>
      <c r="K14" s="48">
        <f>IF(C14&lt;&gt;"Falta Justificada",IF(VLOOKUP(B14,$Q$9:$V$15,6,0)&gt;(I14+Cadastro!$B$10),VLOOKUP(B14,$Q$9:$V$15,6,0)-I14,0),0)</f>
        <v>0</v>
      </c>
      <c r="M14" s="48">
        <f>IF(VLOOKUP(B14,$Q$9:$V$15,6,0)-(I14-Cadastro!$B$10)&lt;0,ABS(VLOOKUP(B14,$Q$9:$V$15,6,0)-I14),0)</f>
        <v>3.125E-2</v>
      </c>
      <c r="O14" s="49" t="s">
        <v>43</v>
      </c>
      <c r="Q14" s="54" t="str">
        <f>PROPER(TEXT(6,"ddd"))</f>
        <v>Sex</v>
      </c>
      <c r="R14" s="46">
        <v>0.33333333333333298</v>
      </c>
      <c r="S14" s="56">
        <v>0.5</v>
      </c>
      <c r="T14" s="46">
        <v>0.55208333333333304</v>
      </c>
      <c r="U14" s="56">
        <v>0.75208333333333299</v>
      </c>
      <c r="V14" s="53">
        <f t="shared" si="6"/>
        <v>0.36666666666666697</v>
      </c>
      <c r="W14" s="53">
        <f t="shared" si="7"/>
        <v>5.2083333333333037E-2</v>
      </c>
      <c r="AB14" s="53">
        <f t="shared" si="2"/>
        <v>2.0833333333333037E-2</v>
      </c>
      <c r="AC14" s="53">
        <f t="shared" si="3"/>
        <v>2.0833333333333662E-2</v>
      </c>
      <c r="AD14" s="53">
        <f t="shared" si="4"/>
        <v>0</v>
      </c>
      <c r="AE14" s="53">
        <f t="shared" si="5"/>
        <v>0</v>
      </c>
    </row>
    <row r="15" spans="1:32" x14ac:dyDescent="0.3">
      <c r="A15" s="44">
        <v>42013</v>
      </c>
      <c r="B15" s="45" t="str">
        <f t="shared" si="0"/>
        <v>Sex</v>
      </c>
      <c r="C15" s="24" t="s">
        <v>39</v>
      </c>
      <c r="D15" s="46">
        <v>0.344444444444444</v>
      </c>
      <c r="E15" s="46">
        <v>0.5</v>
      </c>
      <c r="F15" s="46">
        <v>0.55208333333333304</v>
      </c>
      <c r="G15" s="46">
        <v>0.75208333333333299</v>
      </c>
      <c r="I15" s="47">
        <f t="shared" si="1"/>
        <v>0.35555555555555596</v>
      </c>
      <c r="K15" s="48">
        <f>IF(C15&lt;&gt;"Falta Justificada",IF(VLOOKUP(B15,$Q$9:$V$15,6,0)&gt;(I15+Cadastro!$B$10),VLOOKUP(B15,$Q$9:$V$15,6,0)-I15,0),0)</f>
        <v>1.1111111111111016E-2</v>
      </c>
      <c r="M15" s="48">
        <f>IF(VLOOKUP(B15,$Q$9:$V$15,6,0)-(I15-Cadastro!$B$10)&lt;0,ABS(VLOOKUP(B15,$Q$9:$V$15,6,0)-I15),0)</f>
        <v>0</v>
      </c>
      <c r="O15" s="49" t="s">
        <v>43</v>
      </c>
      <c r="Q15" s="54" t="str">
        <f>PROPER(TEXT(7,"ddd"))</f>
        <v>Sáb</v>
      </c>
      <c r="R15" s="46">
        <v>0</v>
      </c>
      <c r="S15" s="46">
        <v>0</v>
      </c>
      <c r="T15" s="46">
        <v>0</v>
      </c>
      <c r="U15" s="55">
        <v>0</v>
      </c>
      <c r="V15" s="53">
        <f t="shared" si="6"/>
        <v>0</v>
      </c>
      <c r="W15" s="53">
        <f t="shared" si="7"/>
        <v>0</v>
      </c>
      <c r="AB15" s="53">
        <f t="shared" si="2"/>
        <v>5.2083333333333037E-2</v>
      </c>
      <c r="AC15" s="53">
        <f t="shared" si="3"/>
        <v>0</v>
      </c>
      <c r="AD15" s="53">
        <f t="shared" si="4"/>
        <v>0</v>
      </c>
      <c r="AE15" s="53">
        <f t="shared" si="5"/>
        <v>0</v>
      </c>
    </row>
    <row r="16" spans="1:32" x14ac:dyDescent="0.3">
      <c r="A16" s="44">
        <v>42014</v>
      </c>
      <c r="B16" s="45" t="str">
        <f t="shared" si="0"/>
        <v>Sáb</v>
      </c>
      <c r="C16" s="24"/>
      <c r="D16" s="46"/>
      <c r="E16" s="46"/>
      <c r="F16" s="46"/>
      <c r="G16" s="46"/>
      <c r="I16" s="47">
        <f t="shared" si="1"/>
        <v>0</v>
      </c>
      <c r="K16" s="48">
        <f>IF(C16&lt;&gt;"Falta Justificada",IF(VLOOKUP(B16,$Q$9:$V$15,6,0)&gt;(I16+Cadastro!$B$10),VLOOKUP(B16,$Q$9:$V$15,6,0)-I16,0),0)</f>
        <v>0</v>
      </c>
      <c r="M16" s="48">
        <f>IF(VLOOKUP(B16,$Q$9:$V$15,6,0)-(I16-Cadastro!$B$10)&lt;0,ABS(VLOOKUP(B16,$Q$9:$V$15,6,0)-I16),0)</f>
        <v>0</v>
      </c>
      <c r="O16" s="49"/>
      <c r="AB16" s="53">
        <f t="shared" si="2"/>
        <v>0</v>
      </c>
      <c r="AC16" s="53">
        <f t="shared" si="3"/>
        <v>0</v>
      </c>
      <c r="AD16" s="53">
        <f t="shared" si="4"/>
        <v>0</v>
      </c>
      <c r="AE16" s="53">
        <f t="shared" si="5"/>
        <v>0</v>
      </c>
    </row>
    <row r="17" spans="1:31" x14ac:dyDescent="0.3">
      <c r="A17" s="44">
        <v>42015</v>
      </c>
      <c r="B17" s="45" t="str">
        <f t="shared" si="0"/>
        <v>Dom</v>
      </c>
      <c r="C17" s="24"/>
      <c r="D17" s="46"/>
      <c r="E17" s="46"/>
      <c r="F17" s="46"/>
      <c r="G17" s="46"/>
      <c r="I17" s="47">
        <f t="shared" si="1"/>
        <v>0</v>
      </c>
      <c r="K17" s="48">
        <f>IF(C17&lt;&gt;"Falta Justificada",IF(VLOOKUP(B17,$Q$9:$V$15,6,0)&gt;(I17+Cadastro!$B$10),VLOOKUP(B17,$Q$9:$V$15,6,0)-I17,0),0)</f>
        <v>0</v>
      </c>
      <c r="M17" s="48">
        <f>IF(VLOOKUP(B17,$Q$9:$V$15,6,0)-(I17-Cadastro!$B$10)&lt;0,ABS(VLOOKUP(B17,$Q$9:$V$15,6,0)-I17),0)</f>
        <v>0</v>
      </c>
      <c r="O17" s="49"/>
      <c r="Q17" s="7" t="s">
        <v>47</v>
      </c>
      <c r="R17" s="7"/>
      <c r="S17" s="7"/>
      <c r="AB17" s="53">
        <f t="shared" si="2"/>
        <v>0</v>
      </c>
      <c r="AC17" s="53">
        <f t="shared" si="3"/>
        <v>0</v>
      </c>
      <c r="AD17" s="53">
        <f t="shared" si="4"/>
        <v>0</v>
      </c>
      <c r="AE17" s="53">
        <f t="shared" si="5"/>
        <v>0</v>
      </c>
    </row>
    <row r="18" spans="1:31" x14ac:dyDescent="0.3">
      <c r="A18" s="44">
        <v>42016</v>
      </c>
      <c r="B18" s="45" t="str">
        <f t="shared" si="0"/>
        <v>Seg</v>
      </c>
      <c r="C18" s="24" t="s">
        <v>39</v>
      </c>
      <c r="D18" s="46">
        <v>0.33333333333333298</v>
      </c>
      <c r="E18" s="46">
        <v>0.5</v>
      </c>
      <c r="F18" s="46">
        <v>0.55208333333333304</v>
      </c>
      <c r="G18" s="46">
        <v>0.79166666666666696</v>
      </c>
      <c r="I18" s="47">
        <f t="shared" si="1"/>
        <v>0.40625000000000094</v>
      </c>
      <c r="K18" s="48">
        <f>IF(C18&lt;&gt;"Falta Justificada",IF(VLOOKUP(B18,$Q$9:$V$15,6,0)&gt;(I18+Cadastro!$B$10),VLOOKUP(B18,$Q$9:$V$15,6,0)-I18,0),0)</f>
        <v>0</v>
      </c>
      <c r="M18" s="48">
        <f>IF(VLOOKUP(B18,$Q$9:$V$15,6,0)-(I18-Cadastro!$B$10)&lt;0,ABS(VLOOKUP(B18,$Q$9:$V$15,6,0)-I18),0)</f>
        <v>3.958333333333397E-2</v>
      </c>
      <c r="O18" s="49" t="s">
        <v>40</v>
      </c>
      <c r="Q18" s="6" t="s">
        <v>48</v>
      </c>
      <c r="R18" s="6"/>
      <c r="S18" s="57">
        <f>SUM(I:I)</f>
        <v>8.1090277777777864</v>
      </c>
      <c r="AB18" s="53">
        <f t="shared" si="2"/>
        <v>5.2083333333333037E-2</v>
      </c>
      <c r="AC18" s="53">
        <f t="shared" si="3"/>
        <v>0</v>
      </c>
      <c r="AD18" s="53">
        <f t="shared" si="4"/>
        <v>0</v>
      </c>
      <c r="AE18" s="53">
        <f t="shared" si="5"/>
        <v>0</v>
      </c>
    </row>
    <row r="19" spans="1:31" x14ac:dyDescent="0.3">
      <c r="A19" s="44">
        <v>42017</v>
      </c>
      <c r="B19" s="45" t="str">
        <f t="shared" si="0"/>
        <v>Ter</v>
      </c>
      <c r="C19" s="24" t="s">
        <v>39</v>
      </c>
      <c r="D19" s="46">
        <v>0.38611111111111102</v>
      </c>
      <c r="E19" s="46">
        <v>0.5</v>
      </c>
      <c r="F19" s="46">
        <v>0.55208333333333304</v>
      </c>
      <c r="G19" s="46">
        <v>0.95833333333333304</v>
      </c>
      <c r="I19" s="47">
        <f t="shared" si="1"/>
        <v>0.52013888888888893</v>
      </c>
      <c r="K19" s="48">
        <f>IF(C19&lt;&gt;"Falta Justificada",IF(VLOOKUP(B19,$Q$9:$V$15,6,0)&gt;(I19+Cadastro!$B$10),VLOOKUP(B19,$Q$9:$V$15,6,0)-I19,0),0)</f>
        <v>0</v>
      </c>
      <c r="M19" s="48">
        <f>IF(VLOOKUP(B19,$Q$9:$V$15,6,0)-(I19-Cadastro!$B$10)&lt;0,ABS(VLOOKUP(B19,$Q$9:$V$15,6,0)-I19),0)</f>
        <v>0.15347222222222195</v>
      </c>
      <c r="O19" s="49" t="s">
        <v>40</v>
      </c>
      <c r="Q19" s="58" t="s">
        <v>36</v>
      </c>
      <c r="R19" s="58"/>
      <c r="S19" s="47">
        <f>SUM(K:K)</f>
        <v>0.16111111111111093</v>
      </c>
      <c r="AB19" s="53">
        <f t="shared" si="2"/>
        <v>5.2083333333333037E-2</v>
      </c>
      <c r="AC19" s="53">
        <f t="shared" si="3"/>
        <v>0</v>
      </c>
      <c r="AD19" s="53">
        <f t="shared" si="4"/>
        <v>3.0555555555555003E-2</v>
      </c>
      <c r="AE19" s="53">
        <f t="shared" si="5"/>
        <v>4.1666666666666075E-2</v>
      </c>
    </row>
    <row r="20" spans="1:31" x14ac:dyDescent="0.3">
      <c r="A20" s="44">
        <v>42018</v>
      </c>
      <c r="B20" s="45" t="str">
        <f t="shared" si="0"/>
        <v>Qua</v>
      </c>
      <c r="C20" s="24" t="s">
        <v>39</v>
      </c>
      <c r="D20" s="46">
        <v>0.33333333333333298</v>
      </c>
      <c r="E20" s="46">
        <v>0.5</v>
      </c>
      <c r="F20" s="46">
        <v>0.55208333333333304</v>
      </c>
      <c r="G20" s="46">
        <v>0.75208333333333299</v>
      </c>
      <c r="I20" s="47">
        <f t="shared" si="1"/>
        <v>0.36666666666666697</v>
      </c>
      <c r="K20" s="48">
        <f>IF(C20&lt;&gt;"Falta Justificada",IF(VLOOKUP(B20,$Q$9:$V$15,6,0)&gt;(I20+Cadastro!$B$10),VLOOKUP(B20,$Q$9:$V$15,6,0)-I20,0),0)</f>
        <v>0</v>
      </c>
      <c r="M20" s="48">
        <f>IF(VLOOKUP(B20,$Q$9:$V$15,6,0)-(I20-Cadastro!$B$10)&lt;0,ABS(VLOOKUP(B20,$Q$9:$V$15,6,0)-I20),0)</f>
        <v>0</v>
      </c>
      <c r="O20" s="49"/>
      <c r="Q20" s="58" t="s">
        <v>24</v>
      </c>
      <c r="R20" s="58"/>
      <c r="S20" s="47">
        <f>SUM(M:M)</f>
        <v>0.57013888888889008</v>
      </c>
      <c r="AB20" s="53">
        <f t="shared" si="2"/>
        <v>5.2083333333333037E-2</v>
      </c>
      <c r="AC20" s="53">
        <f t="shared" si="3"/>
        <v>0</v>
      </c>
      <c r="AD20" s="53">
        <f t="shared" si="4"/>
        <v>0</v>
      </c>
      <c r="AE20" s="53">
        <f t="shared" si="5"/>
        <v>0</v>
      </c>
    </row>
    <row r="21" spans="1:31" x14ac:dyDescent="0.3">
      <c r="A21" s="44">
        <v>42019</v>
      </c>
      <c r="B21" s="45" t="str">
        <f t="shared" si="0"/>
        <v>Qui</v>
      </c>
      <c r="C21" s="24" t="s">
        <v>39</v>
      </c>
      <c r="D21" s="46">
        <v>0.33333333333333298</v>
      </c>
      <c r="E21" s="46">
        <v>0.5</v>
      </c>
      <c r="F21" s="46">
        <v>0.66666666666666696</v>
      </c>
      <c r="G21" s="46">
        <v>0.91666666666666696</v>
      </c>
      <c r="I21" s="47">
        <f t="shared" si="1"/>
        <v>0.41666666666666702</v>
      </c>
      <c r="K21" s="48">
        <f>IF(C21&lt;&gt;"Falta Justificada",IF(VLOOKUP(B21,$Q$9:$V$15,6,0)&gt;(I21+Cadastro!$B$10),VLOOKUP(B21,$Q$9:$V$15,6,0)-I21,0),0)</f>
        <v>0</v>
      </c>
      <c r="M21" s="48">
        <f>IF(VLOOKUP(B21,$Q$9:$V$15,6,0)-(I21-Cadastro!$B$10)&lt;0,ABS(VLOOKUP(B21,$Q$9:$V$15,6,0)-I21),0)</f>
        <v>5.0000000000000044E-2</v>
      </c>
      <c r="O21" s="49" t="s">
        <v>40</v>
      </c>
      <c r="AB21" s="53">
        <f t="shared" si="2"/>
        <v>0.16666666666666696</v>
      </c>
      <c r="AC21" s="53">
        <f t="shared" si="3"/>
        <v>0</v>
      </c>
      <c r="AD21" s="53">
        <f t="shared" si="4"/>
        <v>4.1666666666666963E-2</v>
      </c>
      <c r="AE21" s="53">
        <f t="shared" si="5"/>
        <v>0</v>
      </c>
    </row>
    <row r="22" spans="1:31" x14ac:dyDescent="0.3">
      <c r="A22" s="44">
        <v>42020</v>
      </c>
      <c r="B22" s="45" t="str">
        <f t="shared" si="0"/>
        <v>Sex</v>
      </c>
      <c r="C22" s="24" t="s">
        <v>39</v>
      </c>
      <c r="D22" s="46">
        <v>0.33333333333333298</v>
      </c>
      <c r="E22" s="46">
        <v>0.5</v>
      </c>
      <c r="F22" s="46">
        <v>0.55208333333333304</v>
      </c>
      <c r="G22" s="46">
        <v>0.75208333333333299</v>
      </c>
      <c r="I22" s="47">
        <f t="shared" si="1"/>
        <v>0.36666666666666697</v>
      </c>
      <c r="K22" s="48">
        <f>IF(C22&lt;&gt;"Falta Justificada",IF(VLOOKUP(B22,$Q$9:$V$15,6,0)&gt;(I22+Cadastro!$B$10),VLOOKUP(B22,$Q$9:$V$15,6,0)-I22,0),0)</f>
        <v>0</v>
      </c>
      <c r="M22" s="48">
        <f>IF(VLOOKUP(B22,$Q$9:$V$15,6,0)-(I22-Cadastro!$B$10)&lt;0,ABS(VLOOKUP(B22,$Q$9:$V$15,6,0)-I22),0)</f>
        <v>0</v>
      </c>
      <c r="O22" s="49"/>
      <c r="Q22" s="7" t="s">
        <v>49</v>
      </c>
      <c r="R22" s="7"/>
      <c r="S22" s="7"/>
      <c r="T22" s="7"/>
      <c r="U22" s="7"/>
      <c r="V22" s="7"/>
      <c r="W22" s="7"/>
      <c r="X22" s="7"/>
      <c r="Y22" s="7"/>
      <c r="AB22" s="53">
        <f t="shared" si="2"/>
        <v>5.2083333333333037E-2</v>
      </c>
      <c r="AC22" s="53">
        <f t="shared" si="3"/>
        <v>0</v>
      </c>
      <c r="AD22" s="53">
        <f t="shared" si="4"/>
        <v>0</v>
      </c>
      <c r="AE22" s="53">
        <f t="shared" si="5"/>
        <v>0</v>
      </c>
    </row>
    <row r="23" spans="1:31" x14ac:dyDescent="0.3">
      <c r="A23" s="44">
        <v>42021</v>
      </c>
      <c r="B23" s="45" t="str">
        <f t="shared" si="0"/>
        <v>Sáb</v>
      </c>
      <c r="C23" s="24"/>
      <c r="D23" s="46"/>
      <c r="E23" s="46"/>
      <c r="F23" s="46"/>
      <c r="G23" s="46"/>
      <c r="I23" s="47">
        <f t="shared" si="1"/>
        <v>0</v>
      </c>
      <c r="K23" s="48">
        <f>IF(C23&lt;&gt;"Falta Justificada",IF(VLOOKUP(B23,$Q$9:$V$15,6,0)&gt;(I23+Cadastro!$B$10),VLOOKUP(B23,$Q$9:$V$15,6,0)-I23,0),0)</f>
        <v>0</v>
      </c>
      <c r="M23" s="48">
        <f>IF(VLOOKUP(B23,$Q$9:$V$15,6,0)-(I23-Cadastro!$B$10)&lt;0,ABS(VLOOKUP(B23,$Q$9:$V$15,6,0)-I23),0)</f>
        <v>0</v>
      </c>
      <c r="O23" s="49"/>
      <c r="Q23" s="59" t="s">
        <v>30</v>
      </c>
      <c r="R23" s="60" t="s">
        <v>40</v>
      </c>
      <c r="S23" s="61" t="s">
        <v>50</v>
      </c>
      <c r="T23" s="60" t="s">
        <v>51</v>
      </c>
      <c r="U23" s="60" t="s">
        <v>52</v>
      </c>
      <c r="V23" s="61" t="s">
        <v>53</v>
      </c>
      <c r="W23" s="60" t="s">
        <v>54</v>
      </c>
      <c r="X23" s="60" t="s">
        <v>55</v>
      </c>
      <c r="Y23" s="61" t="s">
        <v>56</v>
      </c>
      <c r="AB23" s="53">
        <f t="shared" si="2"/>
        <v>0</v>
      </c>
      <c r="AC23" s="53">
        <f t="shared" si="3"/>
        <v>0</v>
      </c>
      <c r="AD23" s="53">
        <f t="shared" si="4"/>
        <v>0</v>
      </c>
      <c r="AE23" s="53">
        <f t="shared" si="5"/>
        <v>0</v>
      </c>
    </row>
    <row r="24" spans="1:31" x14ac:dyDescent="0.3">
      <c r="A24" s="44">
        <v>42022</v>
      </c>
      <c r="B24" s="45" t="str">
        <f t="shared" si="0"/>
        <v>Dom</v>
      </c>
      <c r="C24" s="24"/>
      <c r="D24" s="46"/>
      <c r="E24" s="46"/>
      <c r="F24" s="46"/>
      <c r="G24" s="46"/>
      <c r="I24" s="47">
        <f t="shared" si="1"/>
        <v>0</v>
      </c>
      <c r="K24" s="48">
        <f>IF(C24&lt;&gt;"Falta Justificada",IF(VLOOKUP(B24,$Q$9:$V$15,6,0)&gt;(I24+Cadastro!$B$10),VLOOKUP(B24,$Q$9:$V$15,6,0)-I24,0),0)</f>
        <v>0</v>
      </c>
      <c r="M24" s="48">
        <f>IF(VLOOKUP(B24,$Q$9:$V$15,6,0)-(I24-Cadastro!$B$10)&lt;0,ABS(VLOOKUP(B24,$Q$9:$V$15,6,0)-I24),0)</f>
        <v>0</v>
      </c>
      <c r="O24" s="49"/>
      <c r="Q24" s="62" t="s">
        <v>57</v>
      </c>
      <c r="R24" s="63">
        <f t="shared" ref="R24:R30" si="8">SUMIF($B$7:$B$37,Q24,$M$7:$M$37)</f>
        <v>0</v>
      </c>
      <c r="S24" s="64">
        <f>Cadastro!$B$4</f>
        <v>1</v>
      </c>
      <c r="T24" s="63">
        <f t="shared" ref="T24:T35" si="9">R24*(1+S24)</f>
        <v>0</v>
      </c>
      <c r="U24" s="63">
        <f t="shared" ref="U24:U30" si="10">SUMIFS($M:$M,$O:$O,"Banco de horas",$B:$B,Q24)*(1+S24)</f>
        <v>0</v>
      </c>
      <c r="V24" s="63">
        <f t="shared" ref="V24:V30" si="11">SUMIFS($M:$M,$O:$O,"Hora extra",$B:$B,Q24)*(1+S24)</f>
        <v>0</v>
      </c>
      <c r="W24" s="63">
        <f t="shared" ref="W24:W30" si="12">SUMIF($B$7:$B$37,Q24,$K$7:$K$37)</f>
        <v>0</v>
      </c>
      <c r="X24" s="63">
        <f t="shared" ref="X24:X30" si="13">SUMIFS($K:$K,$O:$O,"Banco de horas",$B:$B,Q24)</f>
        <v>0</v>
      </c>
      <c r="Y24" s="63">
        <f t="shared" ref="Y24:Y30" si="14">SUMIFS($K:$K,$O:$O,"Hora extra",$B:$B,Q24)</f>
        <v>0</v>
      </c>
      <c r="AB24" s="53">
        <f t="shared" si="2"/>
        <v>0</v>
      </c>
      <c r="AC24" s="53">
        <f t="shared" si="3"/>
        <v>0</v>
      </c>
      <c r="AD24" s="53">
        <f t="shared" si="4"/>
        <v>0</v>
      </c>
      <c r="AE24" s="53">
        <f t="shared" si="5"/>
        <v>0</v>
      </c>
    </row>
    <row r="25" spans="1:31" x14ac:dyDescent="0.3">
      <c r="A25" s="44">
        <v>42023</v>
      </c>
      <c r="B25" s="45" t="str">
        <f t="shared" si="0"/>
        <v>Seg</v>
      </c>
      <c r="C25" s="24" t="s">
        <v>39</v>
      </c>
      <c r="D25" s="46">
        <v>0.33333333333333298</v>
      </c>
      <c r="E25" s="46">
        <v>0.5</v>
      </c>
      <c r="F25" s="46">
        <v>0.54166666666666696</v>
      </c>
      <c r="G25" s="46">
        <v>0.76041666666666696</v>
      </c>
      <c r="I25" s="47">
        <f t="shared" si="1"/>
        <v>0.38541666666666702</v>
      </c>
      <c r="K25" s="48">
        <f>IF(C25&lt;&gt;"Falta Justificada",IF(VLOOKUP(B25,$Q$9:$V$15,6,0)&gt;(I25+Cadastro!$B$10),VLOOKUP(B25,$Q$9:$V$15,6,0)-I25,0),0)</f>
        <v>0</v>
      </c>
      <c r="M25" s="48">
        <f>IF(VLOOKUP(B25,$Q$9:$V$15,6,0)-(I25-Cadastro!$B$10)&lt;0,ABS(VLOOKUP(B25,$Q$9:$V$15,6,0)-I25),0)</f>
        <v>1.8750000000000044E-2</v>
      </c>
      <c r="O25" s="49" t="s">
        <v>43</v>
      </c>
      <c r="Q25" s="62" t="s">
        <v>58</v>
      </c>
      <c r="R25" s="63">
        <f t="shared" si="8"/>
        <v>5.8333333333334014E-2</v>
      </c>
      <c r="S25" s="64">
        <f>Cadastro!$B$2</f>
        <v>0.25</v>
      </c>
      <c r="T25" s="63">
        <f t="shared" si="9"/>
        <v>7.2916666666667518E-2</v>
      </c>
      <c r="U25" s="63">
        <f t="shared" si="10"/>
        <v>2.3437500000000056E-2</v>
      </c>
      <c r="V25" s="63">
        <f t="shared" si="11"/>
        <v>4.9479166666667462E-2</v>
      </c>
      <c r="W25" s="63">
        <f t="shared" si="12"/>
        <v>0</v>
      </c>
      <c r="X25" s="63">
        <f t="shared" si="13"/>
        <v>0</v>
      </c>
      <c r="Y25" s="63">
        <f t="shared" si="14"/>
        <v>0</v>
      </c>
      <c r="AB25" s="53">
        <f t="shared" si="2"/>
        <v>4.1666666666666963E-2</v>
      </c>
      <c r="AC25" s="53">
        <f t="shared" si="3"/>
        <v>0</v>
      </c>
      <c r="AD25" s="53">
        <f t="shared" si="4"/>
        <v>0</v>
      </c>
      <c r="AE25" s="53">
        <f t="shared" si="5"/>
        <v>0</v>
      </c>
    </row>
    <row r="26" spans="1:31" x14ac:dyDescent="0.3">
      <c r="A26" s="44">
        <v>42024</v>
      </c>
      <c r="B26" s="45" t="str">
        <f t="shared" si="0"/>
        <v>Ter</v>
      </c>
      <c r="C26" s="24" t="s">
        <v>39</v>
      </c>
      <c r="D26" s="46">
        <v>0.33333333333333298</v>
      </c>
      <c r="E26" s="46">
        <v>0.5</v>
      </c>
      <c r="F26" s="46">
        <v>0.55208333333333304</v>
      </c>
      <c r="G26" s="46">
        <v>0.75208333333333299</v>
      </c>
      <c r="I26" s="47">
        <f t="shared" si="1"/>
        <v>0.36666666666666697</v>
      </c>
      <c r="K26" s="48">
        <f>IF(C26&lt;&gt;"Falta Justificada",IF(VLOOKUP(B26,$Q$9:$V$15,6,0)&gt;(I26+Cadastro!$B$10),VLOOKUP(B26,$Q$9:$V$15,6,0)-I26,0),0)</f>
        <v>0</v>
      </c>
      <c r="M26" s="48">
        <f>IF(VLOOKUP(B26,$Q$9:$V$15,6,0)-(I26-Cadastro!$B$10)&lt;0,ABS(VLOOKUP(B26,$Q$9:$V$15,6,0)-I26),0)</f>
        <v>0</v>
      </c>
      <c r="O26" s="49"/>
      <c r="Q26" s="62" t="s">
        <v>59</v>
      </c>
      <c r="R26" s="63">
        <f t="shared" si="8"/>
        <v>0.15347222222222195</v>
      </c>
      <c r="S26" s="64">
        <f>Cadastro!$B$2</f>
        <v>0.25</v>
      </c>
      <c r="T26" s="63">
        <f t="shared" si="9"/>
        <v>0.19184027777777746</v>
      </c>
      <c r="U26" s="63">
        <f t="shared" si="10"/>
        <v>0</v>
      </c>
      <c r="V26" s="63">
        <f t="shared" si="11"/>
        <v>0.19184027777777746</v>
      </c>
      <c r="W26" s="63">
        <f t="shared" si="12"/>
        <v>0</v>
      </c>
      <c r="X26" s="63">
        <f t="shared" si="13"/>
        <v>0</v>
      </c>
      <c r="Y26" s="63">
        <f t="shared" si="14"/>
        <v>0</v>
      </c>
      <c r="AB26" s="53">
        <f t="shared" si="2"/>
        <v>5.2083333333333037E-2</v>
      </c>
      <c r="AC26" s="53">
        <f t="shared" si="3"/>
        <v>0</v>
      </c>
      <c r="AD26" s="53">
        <f t="shared" si="4"/>
        <v>0</v>
      </c>
      <c r="AE26" s="53">
        <f t="shared" si="5"/>
        <v>0</v>
      </c>
    </row>
    <row r="27" spans="1:31" x14ac:dyDescent="0.3">
      <c r="A27" s="44">
        <v>42025</v>
      </c>
      <c r="B27" s="45" t="str">
        <f t="shared" si="0"/>
        <v>Qua</v>
      </c>
      <c r="C27" s="24" t="s">
        <v>39</v>
      </c>
      <c r="D27" s="46">
        <v>0.33333333333333298</v>
      </c>
      <c r="E27" s="46">
        <v>0.48958333333333298</v>
      </c>
      <c r="F27" s="46">
        <v>0.55208333333333304</v>
      </c>
      <c r="G27" s="46">
        <v>0.79166666666666696</v>
      </c>
      <c r="I27" s="47">
        <f t="shared" si="1"/>
        <v>0.39583333333333393</v>
      </c>
      <c r="K27" s="48">
        <f>IF(C27&lt;&gt;"Falta Justificada",IF(VLOOKUP(B27,$Q$9:$V$15,6,0)&gt;(I27+Cadastro!$B$10),VLOOKUP(B27,$Q$9:$V$15,6,0)-I27,0),0)</f>
        <v>0</v>
      </c>
      <c r="M27" s="48">
        <f>IF(VLOOKUP(B27,$Q$9:$V$15,6,0)-(I27-Cadastro!$B$10)&lt;0,ABS(VLOOKUP(B27,$Q$9:$V$15,6,0)-I27),0)</f>
        <v>2.9166666666666952E-2</v>
      </c>
      <c r="O27" s="49" t="s">
        <v>43</v>
      </c>
      <c r="Q27" s="62" t="s">
        <v>60</v>
      </c>
      <c r="R27" s="63">
        <f t="shared" si="8"/>
        <v>7.0833333333333026E-2</v>
      </c>
      <c r="S27" s="64">
        <f>Cadastro!$B$2</f>
        <v>0.25</v>
      </c>
      <c r="T27" s="63">
        <f t="shared" si="9"/>
        <v>8.8541666666666283E-2</v>
      </c>
      <c r="U27" s="63">
        <f t="shared" si="10"/>
        <v>8.8541666666666283E-2</v>
      </c>
      <c r="V27" s="63">
        <f t="shared" si="11"/>
        <v>0</v>
      </c>
      <c r="W27" s="63">
        <f t="shared" si="12"/>
        <v>0.10624999999999996</v>
      </c>
      <c r="X27" s="63">
        <f t="shared" si="13"/>
        <v>0</v>
      </c>
      <c r="Y27" s="63">
        <f t="shared" si="14"/>
        <v>0.10624999999999996</v>
      </c>
      <c r="AB27" s="53">
        <f t="shared" si="2"/>
        <v>6.2500000000000056E-2</v>
      </c>
      <c r="AC27" s="53">
        <f t="shared" si="3"/>
        <v>0</v>
      </c>
      <c r="AD27" s="53">
        <f t="shared" si="4"/>
        <v>0</v>
      </c>
      <c r="AE27" s="53">
        <f t="shared" si="5"/>
        <v>0</v>
      </c>
    </row>
    <row r="28" spans="1:31" x14ac:dyDescent="0.3">
      <c r="A28" s="44">
        <v>42026</v>
      </c>
      <c r="B28" s="45" t="str">
        <f t="shared" si="0"/>
        <v>Qui</v>
      </c>
      <c r="C28" s="24" t="s">
        <v>39</v>
      </c>
      <c r="D28" s="46">
        <v>0.33333333333333298</v>
      </c>
      <c r="E28" s="46">
        <v>0.5</v>
      </c>
      <c r="F28" s="46">
        <v>0.55208333333333304</v>
      </c>
      <c r="G28" s="46">
        <v>0.75208333333333299</v>
      </c>
      <c r="I28" s="47">
        <f t="shared" si="1"/>
        <v>0.36666666666666697</v>
      </c>
      <c r="K28" s="48">
        <f>IF(C28&lt;&gt;"Falta Justificada",IF(VLOOKUP(B28,$Q$9:$V$15,6,0)&gt;(I28+Cadastro!$B$10),VLOOKUP(B28,$Q$9:$V$15,6,0)-I28,0),0)</f>
        <v>0</v>
      </c>
      <c r="M28" s="48">
        <f>IF(VLOOKUP(B28,$Q$9:$V$15,6,0)-(I28-Cadastro!$B$10)&lt;0,ABS(VLOOKUP(B28,$Q$9:$V$15,6,0)-I28),0)</f>
        <v>0</v>
      </c>
      <c r="O28" s="49"/>
      <c r="Q28" s="62" t="s">
        <v>61</v>
      </c>
      <c r="R28" s="63">
        <f t="shared" si="8"/>
        <v>0.12083333333333401</v>
      </c>
      <c r="S28" s="64">
        <f>Cadastro!$B$2</f>
        <v>0.25</v>
      </c>
      <c r="T28" s="63">
        <f t="shared" si="9"/>
        <v>0.15104166666666752</v>
      </c>
      <c r="U28" s="63">
        <f t="shared" si="10"/>
        <v>3.90625E-2</v>
      </c>
      <c r="V28" s="63">
        <f t="shared" si="11"/>
        <v>0.11197916666666752</v>
      </c>
      <c r="W28" s="63">
        <f t="shared" si="12"/>
        <v>0</v>
      </c>
      <c r="X28" s="63">
        <f t="shared" si="13"/>
        <v>0</v>
      </c>
      <c r="Y28" s="63">
        <f t="shared" si="14"/>
        <v>0</v>
      </c>
      <c r="AB28" s="53">
        <f t="shared" si="2"/>
        <v>5.2083333333333037E-2</v>
      </c>
      <c r="AC28" s="53">
        <f t="shared" si="3"/>
        <v>0</v>
      </c>
      <c r="AD28" s="53">
        <f t="shared" si="4"/>
        <v>0</v>
      </c>
      <c r="AE28" s="53">
        <f t="shared" si="5"/>
        <v>0</v>
      </c>
    </row>
    <row r="29" spans="1:31" x14ac:dyDescent="0.3">
      <c r="A29" s="44">
        <v>42027</v>
      </c>
      <c r="B29" s="45" t="str">
        <f t="shared" si="0"/>
        <v>Sex</v>
      </c>
      <c r="C29" s="24" t="s">
        <v>39</v>
      </c>
      <c r="D29" s="46">
        <v>0.33333333333333298</v>
      </c>
      <c r="E29" s="46">
        <v>0.5</v>
      </c>
      <c r="F29" s="46">
        <v>0.55208333333333304</v>
      </c>
      <c r="G29" s="46">
        <v>0.70833333333333304</v>
      </c>
      <c r="I29" s="47">
        <f t="shared" si="1"/>
        <v>0.32291666666666702</v>
      </c>
      <c r="K29" s="48">
        <f>IF(C29&lt;&gt;"Falta Justificada",IF(VLOOKUP(B29,$Q$9:$V$15,6,0)&gt;(I29+Cadastro!$B$10),VLOOKUP(B29,$Q$9:$V$15,6,0)-I29,0),0)</f>
        <v>4.3749999999999956E-2</v>
      </c>
      <c r="M29" s="48">
        <f>IF(VLOOKUP(B29,$Q$9:$V$15,6,0)-(I29-Cadastro!$B$10)&lt;0,ABS(VLOOKUP(B29,$Q$9:$V$15,6,0)-I29),0)</f>
        <v>0</v>
      </c>
      <c r="O29" s="49" t="s">
        <v>40</v>
      </c>
      <c r="Q29" s="62" t="s">
        <v>62</v>
      </c>
      <c r="R29" s="63">
        <f t="shared" si="8"/>
        <v>0</v>
      </c>
      <c r="S29" s="64">
        <f>Cadastro!$B$2</f>
        <v>0.25</v>
      </c>
      <c r="T29" s="63">
        <f t="shared" si="9"/>
        <v>0</v>
      </c>
      <c r="U29" s="63">
        <f t="shared" si="10"/>
        <v>0</v>
      </c>
      <c r="V29" s="63">
        <f t="shared" si="11"/>
        <v>0</v>
      </c>
      <c r="W29" s="63">
        <f t="shared" si="12"/>
        <v>5.4861111111110972E-2</v>
      </c>
      <c r="X29" s="63">
        <f t="shared" si="13"/>
        <v>1.1111111111111016E-2</v>
      </c>
      <c r="Y29" s="63">
        <f t="shared" si="14"/>
        <v>4.3749999999999956E-2</v>
      </c>
      <c r="AB29" s="53">
        <f t="shared" si="2"/>
        <v>5.2083333333333037E-2</v>
      </c>
      <c r="AC29" s="53">
        <f t="shared" si="3"/>
        <v>0</v>
      </c>
      <c r="AD29" s="53">
        <f t="shared" si="4"/>
        <v>0</v>
      </c>
      <c r="AE29" s="53">
        <f t="shared" si="5"/>
        <v>0</v>
      </c>
    </row>
    <row r="30" spans="1:31" x14ac:dyDescent="0.3">
      <c r="A30" s="44">
        <v>42028</v>
      </c>
      <c r="B30" s="45" t="str">
        <f t="shared" si="0"/>
        <v>Sáb</v>
      </c>
      <c r="C30" s="24"/>
      <c r="D30" s="46"/>
      <c r="E30" s="46"/>
      <c r="F30" s="46"/>
      <c r="G30" s="46"/>
      <c r="I30" s="47">
        <f t="shared" si="1"/>
        <v>0</v>
      </c>
      <c r="K30" s="48">
        <f>IF(C30&lt;&gt;"Falta Justificada",IF(VLOOKUP(B30,$Q$9:$V$15,6,0)&gt;(I30+Cadastro!$B$10),VLOOKUP(B30,$Q$9:$V$15,6,0)-I30,0),0)</f>
        <v>0</v>
      </c>
      <c r="M30" s="48">
        <f>IF(VLOOKUP(B30,$Q$9:$V$15,6,0)-(I30-Cadastro!$B$10)&lt;0,ABS(VLOOKUP(B30,$Q$9:$V$15,6,0)-I30),0)</f>
        <v>0</v>
      </c>
      <c r="O30" s="49"/>
      <c r="Q30" s="62" t="s">
        <v>63</v>
      </c>
      <c r="R30" s="63">
        <f t="shared" si="8"/>
        <v>0.16666666666666702</v>
      </c>
      <c r="S30" s="64">
        <f>Cadastro!$B$3</f>
        <v>0.4</v>
      </c>
      <c r="T30" s="63">
        <f t="shared" si="9"/>
        <v>0.23333333333333381</v>
      </c>
      <c r="U30" s="63">
        <f t="shared" si="10"/>
        <v>0</v>
      </c>
      <c r="V30" s="63">
        <f t="shared" si="11"/>
        <v>0.23333333333333381</v>
      </c>
      <c r="W30" s="63">
        <f t="shared" si="12"/>
        <v>0</v>
      </c>
      <c r="X30" s="63">
        <f t="shared" si="13"/>
        <v>0</v>
      </c>
      <c r="Y30" s="63">
        <f t="shared" si="14"/>
        <v>0</v>
      </c>
      <c r="AB30" s="53">
        <f t="shared" si="2"/>
        <v>0</v>
      </c>
      <c r="AC30" s="53">
        <f t="shared" si="3"/>
        <v>0</v>
      </c>
      <c r="AD30" s="53">
        <f t="shared" si="4"/>
        <v>0</v>
      </c>
      <c r="AE30" s="53">
        <f t="shared" si="5"/>
        <v>0</v>
      </c>
    </row>
    <row r="31" spans="1:31" x14ac:dyDescent="0.3">
      <c r="A31" s="44">
        <v>42029</v>
      </c>
      <c r="B31" s="45" t="str">
        <f t="shared" si="0"/>
        <v>Dom</v>
      </c>
      <c r="C31" s="24"/>
      <c r="D31" s="46"/>
      <c r="E31" s="46"/>
      <c r="F31" s="46"/>
      <c r="G31" s="46"/>
      <c r="I31" s="47">
        <f t="shared" si="1"/>
        <v>0</v>
      </c>
      <c r="K31" s="48">
        <f>IF(C31&lt;&gt;"Falta Justificada",IF(VLOOKUP(B31,$Q$9:$V$15,6,0)&gt;(I31+Cadastro!$B$10),VLOOKUP(B31,$Q$9:$V$15,6,0)-I31,0),0)</f>
        <v>0</v>
      </c>
      <c r="M31" s="48">
        <f>IF(VLOOKUP(B31,$Q$9:$V$15,6,0)-(I31-Cadastro!$B$10)&lt;0,ABS(VLOOKUP(B31,$Q$9:$V$15,6,0)-I31),0)</f>
        <v>0</v>
      </c>
      <c r="O31" s="49"/>
      <c r="Q31" s="62" t="s">
        <v>42</v>
      </c>
      <c r="R31" s="63">
        <f>SUMIF($C:$C,Q31,I:I)</f>
        <v>0.40625000000000094</v>
      </c>
      <c r="S31" s="64">
        <f>Cadastro!$B$7</f>
        <v>1</v>
      </c>
      <c r="T31" s="63">
        <f t="shared" si="9"/>
        <v>0.81250000000000189</v>
      </c>
      <c r="U31" s="63">
        <f>SUMIFS($I:$I,$O:$O,"Banco de horas",$C:$C,Q31)*(1+S31)</f>
        <v>0</v>
      </c>
      <c r="V31" s="63">
        <f>SUMIFS($I:$I,$O:$O,"Hora extra",$C:$C,Q31)*(1+S31)</f>
        <v>0.81250000000000189</v>
      </c>
      <c r="W31" s="65"/>
      <c r="X31" s="65"/>
      <c r="Y31" s="65"/>
      <c r="AB31" s="53">
        <f t="shared" si="2"/>
        <v>0</v>
      </c>
      <c r="AC31" s="53">
        <f t="shared" si="3"/>
        <v>0</v>
      </c>
      <c r="AD31" s="53">
        <f t="shared" si="4"/>
        <v>0</v>
      </c>
      <c r="AE31" s="53">
        <f t="shared" si="5"/>
        <v>0</v>
      </c>
    </row>
    <row r="32" spans="1:31" x14ac:dyDescent="0.3">
      <c r="A32" s="44">
        <v>42030</v>
      </c>
      <c r="B32" s="45" t="str">
        <f t="shared" si="0"/>
        <v>Seg</v>
      </c>
      <c r="C32" s="24" t="s">
        <v>39</v>
      </c>
      <c r="D32" s="46">
        <v>0.33333333333333298</v>
      </c>
      <c r="E32" s="46">
        <v>0.5</v>
      </c>
      <c r="F32" s="46">
        <v>0.55208333333333304</v>
      </c>
      <c r="G32" s="46">
        <v>0.75208333333333299</v>
      </c>
      <c r="I32" s="47">
        <f t="shared" si="1"/>
        <v>0.36666666666666697</v>
      </c>
      <c r="K32" s="48">
        <f>IF(C32&lt;&gt;"Falta Justificada",IF(VLOOKUP(B32,$Q$9:$V$15,6,0)&gt;(I32+Cadastro!$B$10),VLOOKUP(B32,$Q$9:$V$15,6,0)-I32,0),0)</f>
        <v>0</v>
      </c>
      <c r="M32" s="48">
        <f>IF(VLOOKUP(B32,$Q$9:$V$15,6,0)-(I32-Cadastro!$B$10)&lt;0,ABS(VLOOKUP(B32,$Q$9:$V$15,6,0)-I32),0)</f>
        <v>0</v>
      </c>
      <c r="O32" s="49"/>
      <c r="Q32" s="62" t="s">
        <v>46</v>
      </c>
      <c r="R32" s="63">
        <f>SUMIF($C:$C,Q32,I:I)</f>
        <v>0.16666666666666702</v>
      </c>
      <c r="S32" s="64">
        <f>Cadastro!$B$6</f>
        <v>0.5</v>
      </c>
      <c r="T32" s="63">
        <f t="shared" si="9"/>
        <v>0.25000000000000056</v>
      </c>
      <c r="U32" s="63">
        <f>SUMIFS($I:$I,$O:$O,"Banco de horas",$C:$C,Q32)*(1+S32)</f>
        <v>0</v>
      </c>
      <c r="V32" s="63">
        <f>SUMIFS($I:$I,$O:$O,"Hora extra",$C:$C,Q32)*(1+S32)</f>
        <v>0.25000000000000056</v>
      </c>
      <c r="AB32" s="53">
        <f t="shared" si="2"/>
        <v>5.2083333333333037E-2</v>
      </c>
      <c r="AC32" s="53">
        <f t="shared" si="3"/>
        <v>0</v>
      </c>
      <c r="AD32" s="53">
        <f t="shared" si="4"/>
        <v>0</v>
      </c>
      <c r="AE32" s="53">
        <f t="shared" si="5"/>
        <v>0</v>
      </c>
    </row>
    <row r="33" spans="1:31" x14ac:dyDescent="0.3">
      <c r="A33" s="44">
        <v>42031</v>
      </c>
      <c r="B33" s="45" t="str">
        <f t="shared" si="0"/>
        <v>Ter</v>
      </c>
      <c r="C33" s="24" t="s">
        <v>39</v>
      </c>
      <c r="D33" s="46">
        <v>0.33333333333333298</v>
      </c>
      <c r="E33" s="46">
        <v>0.5</v>
      </c>
      <c r="F33" s="46">
        <v>0.55208333333333304</v>
      </c>
      <c r="G33" s="46">
        <v>0.75208333333333299</v>
      </c>
      <c r="I33" s="47">
        <f t="shared" si="1"/>
        <v>0.36666666666666697</v>
      </c>
      <c r="K33" s="48">
        <f>IF(C33&lt;&gt;"Falta Justificada",IF(VLOOKUP(B33,$Q$9:$V$15,6,0)&gt;(I33+Cadastro!$B$10),VLOOKUP(B33,$Q$9:$V$15,6,0)-I33,0),0)</f>
        <v>0</v>
      </c>
      <c r="M33" s="48">
        <f>IF(VLOOKUP(B33,$Q$9:$V$15,6,0)-(I33-Cadastro!$B$10)&lt;0,ABS(VLOOKUP(B33,$Q$9:$V$15,6,0)-I33),0)</f>
        <v>0</v>
      </c>
      <c r="O33" s="49"/>
      <c r="Q33" s="62" t="s">
        <v>15</v>
      </c>
      <c r="R33" s="63">
        <f>SUM(AC:AC)-$AC$5</f>
        <v>5.2083333333333398E-2</v>
      </c>
      <c r="S33" s="64">
        <f>Cadastro!$B$9</f>
        <v>0.3</v>
      </c>
      <c r="T33" s="63">
        <f t="shared" si="9"/>
        <v>6.7708333333333426E-2</v>
      </c>
      <c r="U33" s="63">
        <f>SUMIF($O:$O,"Banco de horas",$AC:$AC)*(1+$S$33)</f>
        <v>6.7708333333333426E-2</v>
      </c>
      <c r="V33" s="63">
        <f>SUMIF($O:$O,"Hora extra",$AC:$AC)*(1+$S$33)</f>
        <v>0</v>
      </c>
      <c r="AB33" s="53">
        <f t="shared" si="2"/>
        <v>5.2083333333333037E-2</v>
      </c>
      <c r="AC33" s="53">
        <f t="shared" si="3"/>
        <v>0</v>
      </c>
      <c r="AD33" s="53">
        <f t="shared" si="4"/>
        <v>0</v>
      </c>
      <c r="AE33" s="53">
        <f t="shared" si="5"/>
        <v>0</v>
      </c>
    </row>
    <row r="34" spans="1:31" x14ac:dyDescent="0.3">
      <c r="A34" s="44">
        <v>42032</v>
      </c>
      <c r="B34" s="45" t="str">
        <f t="shared" si="0"/>
        <v>Qua</v>
      </c>
      <c r="C34" s="24" t="s">
        <v>39</v>
      </c>
      <c r="D34" s="46">
        <v>0.33333333333333298</v>
      </c>
      <c r="E34" s="46">
        <v>0.5</v>
      </c>
      <c r="F34" s="46">
        <v>0.51041666666666696</v>
      </c>
      <c r="G34" s="46">
        <v>0.75208333333333299</v>
      </c>
      <c r="I34" s="47">
        <f t="shared" si="1"/>
        <v>0.40833333333333305</v>
      </c>
      <c r="K34" s="48">
        <f>IF(C34&lt;&gt;"Falta Justificada",IF(VLOOKUP(B34,$Q$9:$V$15,6,0)&gt;(I34+Cadastro!$B$10),VLOOKUP(B34,$Q$9:$V$15,6,0)-I34,0),0)</f>
        <v>0</v>
      </c>
      <c r="M34" s="48">
        <f>IF(VLOOKUP(B34,$Q$9:$V$15,6,0)-(I34-Cadastro!$B$10)&lt;0,ABS(VLOOKUP(B34,$Q$9:$V$15,6,0)-I34),0)</f>
        <v>4.1666666666666075E-2</v>
      </c>
      <c r="O34" s="49" t="s">
        <v>43</v>
      </c>
      <c r="Q34" s="62" t="s">
        <v>14</v>
      </c>
      <c r="R34" s="63">
        <f>SUM(AD:AD)-$AD$5</f>
        <v>7.2222222222222021E-2</v>
      </c>
      <c r="S34" s="64">
        <f>Cadastro!B8</f>
        <v>0.3</v>
      </c>
      <c r="T34" s="63">
        <f t="shared" si="9"/>
        <v>9.3888888888888633E-2</v>
      </c>
      <c r="U34" s="63">
        <f>SUMIF($O:$O,"Banco de horas",$AD:$AD)*(1+$S$34)</f>
        <v>0</v>
      </c>
      <c r="V34" s="63">
        <f>SUMIF($O:$O,"Hora extra",$AD:$AD)*(1+$S$34)</f>
        <v>9.3888888888888564E-2</v>
      </c>
      <c r="AB34" s="53">
        <f t="shared" si="2"/>
        <v>1.0416666666666963E-2</v>
      </c>
      <c r="AC34" s="53">
        <f t="shared" si="3"/>
        <v>3.1249999999999736E-2</v>
      </c>
      <c r="AD34" s="53">
        <f t="shared" si="4"/>
        <v>0</v>
      </c>
      <c r="AE34" s="53">
        <f t="shared" si="5"/>
        <v>0</v>
      </c>
    </row>
    <row r="35" spans="1:31" x14ac:dyDescent="0.3">
      <c r="A35" s="44">
        <v>42033</v>
      </c>
      <c r="B35" s="45" t="str">
        <f t="shared" si="0"/>
        <v>Qui</v>
      </c>
      <c r="C35" s="24" t="s">
        <v>39</v>
      </c>
      <c r="D35" s="46">
        <v>0.33333333333333298</v>
      </c>
      <c r="E35" s="46">
        <v>0.5</v>
      </c>
      <c r="F35" s="46">
        <v>0.55208333333333304</v>
      </c>
      <c r="G35" s="46">
        <v>0.75208333333333299</v>
      </c>
      <c r="I35" s="47">
        <f t="shared" si="1"/>
        <v>0.36666666666666697</v>
      </c>
      <c r="K35" s="48">
        <f>IF(C35&lt;&gt;"Falta Justificada",IF(VLOOKUP(B35,$Q$9:$V$15,6,0)&gt;(I35+Cadastro!$B$10),VLOOKUP(B35,$Q$9:$V$15,6,0)-I35,0),0)</f>
        <v>0</v>
      </c>
      <c r="M35" s="48">
        <f>IF(VLOOKUP(B35,$Q$9:$V$15,6,0)-(I35-Cadastro!$B$10)&lt;0,ABS(VLOOKUP(B35,$Q$9:$V$15,6,0)-I35),0)</f>
        <v>0</v>
      </c>
      <c r="O35" s="49"/>
      <c r="Q35" s="62" t="s">
        <v>11</v>
      </c>
      <c r="R35" s="63">
        <f>SUM(AE:AE)-SUM(AE4:AE5)</f>
        <v>4.1666666666666075E-2</v>
      </c>
      <c r="S35" s="64">
        <f>Cadastro!B5</f>
        <v>0.5</v>
      </c>
      <c r="T35" s="63">
        <f t="shared" si="9"/>
        <v>6.2499999999999112E-2</v>
      </c>
      <c r="U35" s="63">
        <f>SUMIF($O:$O,"Banco de horas",$AE:$AE)*(1+$S$35)</f>
        <v>0</v>
      </c>
      <c r="V35" s="63">
        <f>SUMIF($O:$O,"Hora extra",$AE:$AE)*(1+$S$35)</f>
        <v>6.2499999999999112E-2</v>
      </c>
      <c r="AB35" s="53">
        <f t="shared" si="2"/>
        <v>5.2083333333333037E-2</v>
      </c>
      <c r="AC35" s="53">
        <f t="shared" si="3"/>
        <v>0</v>
      </c>
      <c r="AD35" s="53">
        <f t="shared" si="4"/>
        <v>0</v>
      </c>
      <c r="AE35" s="53">
        <f t="shared" si="5"/>
        <v>0</v>
      </c>
    </row>
    <row r="36" spans="1:31" x14ac:dyDescent="0.3">
      <c r="A36" s="44">
        <v>42034</v>
      </c>
      <c r="B36" s="45" t="str">
        <f t="shared" si="0"/>
        <v>Sex</v>
      </c>
      <c r="C36" s="24" t="s">
        <v>39</v>
      </c>
      <c r="D36" s="46">
        <v>0.33333333333333298</v>
      </c>
      <c r="E36" s="46">
        <v>0.5</v>
      </c>
      <c r="F36" s="46">
        <v>0.55208333333333304</v>
      </c>
      <c r="G36" s="46">
        <v>0.75208333333333299</v>
      </c>
      <c r="I36" s="47">
        <f t="shared" si="1"/>
        <v>0.36666666666666697</v>
      </c>
      <c r="K36" s="48">
        <f>IF(C36&lt;&gt;"Falta Justificada",IF(VLOOKUP(B36,$Q$9:$V$15,6,0)&gt;(I36+Cadastro!$B$10),VLOOKUP(B36,$Q$9:$V$15,6,0)-I36,0),0)</f>
        <v>0</v>
      </c>
      <c r="M36" s="48">
        <f>IF(VLOOKUP(B36,$Q$9:$V$15,6,0)-(I36-Cadastro!$B$10)&lt;0,ABS(VLOOKUP(B36,$Q$9:$V$15,6,0)-I36),0)</f>
        <v>0</v>
      </c>
      <c r="O36" s="49"/>
      <c r="AB36" s="53">
        <f t="shared" si="2"/>
        <v>5.2083333333333037E-2</v>
      </c>
      <c r="AC36" s="53">
        <f t="shared" si="3"/>
        <v>0</v>
      </c>
      <c r="AD36" s="53">
        <f t="shared" si="4"/>
        <v>0</v>
      </c>
      <c r="AE36" s="53">
        <f t="shared" si="5"/>
        <v>0</v>
      </c>
    </row>
    <row r="37" spans="1:31" x14ac:dyDescent="0.3">
      <c r="A37" s="44">
        <v>42035</v>
      </c>
      <c r="B37" s="45" t="str">
        <f t="shared" si="0"/>
        <v>Sáb</v>
      </c>
      <c r="C37" s="24" t="s">
        <v>46</v>
      </c>
      <c r="D37" s="46">
        <v>0.33333333333333298</v>
      </c>
      <c r="E37" s="46"/>
      <c r="F37" s="46"/>
      <c r="G37" s="46">
        <v>0.5</v>
      </c>
      <c r="I37" s="47">
        <f t="shared" si="1"/>
        <v>0.16666666666666702</v>
      </c>
      <c r="K37" s="48">
        <f>IF(C37&lt;&gt;"Falta Justificada",IF(VLOOKUP(B37,$Q$9:$V$15,6,0)&gt;(I37+Cadastro!$B$10),VLOOKUP(B37,$Q$9:$V$15,6,0)-I37,0),0)</f>
        <v>0</v>
      </c>
      <c r="M37" s="48">
        <f>IF(VLOOKUP(B37,$Q$9:$V$15,6,0)-(I37-Cadastro!$B$10)&lt;0,ABS(VLOOKUP(B37,$Q$9:$V$15,6,0)-I37),0)</f>
        <v>0.16666666666666702</v>
      </c>
      <c r="O37" s="49" t="s">
        <v>40</v>
      </c>
      <c r="AB37" s="53">
        <f t="shared" si="2"/>
        <v>0</v>
      </c>
      <c r="AC37" s="53">
        <f t="shared" si="3"/>
        <v>0</v>
      </c>
      <c r="AD37" s="53">
        <f t="shared" si="4"/>
        <v>0</v>
      </c>
      <c r="AE37" s="53">
        <f t="shared" si="5"/>
        <v>0</v>
      </c>
    </row>
  </sheetData>
  <sheetProtection sheet="1" objects="1" scenarios="1" selectLockedCells="1"/>
  <mergeCells count="13">
    <mergeCell ref="Q18:R18"/>
    <mergeCell ref="Q22:Y22"/>
    <mergeCell ref="A6:B6"/>
    <mergeCell ref="E6:F6"/>
    <mergeCell ref="Q7:W7"/>
    <mergeCell ref="S8:T8"/>
    <mergeCell ref="Q17:S17"/>
    <mergeCell ref="B1:F1"/>
    <mergeCell ref="M1:O1"/>
    <mergeCell ref="B2:F2"/>
    <mergeCell ref="M2:N2"/>
    <mergeCell ref="B3:F3"/>
    <mergeCell ref="M3:N3"/>
  </mergeCells>
  <conditionalFormatting sqref="B7:B37">
    <cfRule type="expression" dxfId="19" priority="2">
      <formula>IF(OR(B7="Sáb",B7="Dom"),1,0)=1</formula>
    </cfRule>
  </conditionalFormatting>
  <conditionalFormatting sqref="I7:M37">
    <cfRule type="cellIs" dxfId="18" priority="3" operator="equal">
      <formula>0</formula>
    </cfRule>
  </conditionalFormatting>
  <conditionalFormatting sqref="M7:M37">
    <cfRule type="cellIs" dxfId="17" priority="4" operator="greaterThan">
      <formula>0</formula>
    </cfRule>
  </conditionalFormatting>
  <conditionalFormatting sqref="K7:K37">
    <cfRule type="cellIs" dxfId="16" priority="5" operator="greaterThan">
      <formula>0</formula>
    </cfRule>
  </conditionalFormatting>
  <conditionalFormatting sqref="D7:G37">
    <cfRule type="expression" dxfId="15" priority="6">
      <formula>IF(OR($I7=0,AND($D7&gt;0,$B7&gt;0,$F7&gt;0,$G7&gt;0)),1,0)=0</formula>
    </cfRule>
  </conditionalFormatting>
  <conditionalFormatting sqref="N7:O37">
    <cfRule type="cellIs" dxfId="14" priority="7" operator="equal">
      <formula>0</formula>
    </cfRule>
  </conditionalFormatting>
  <conditionalFormatting sqref="O7:O37">
    <cfRule type="cellIs" dxfId="13" priority="8" operator="equal">
      <formula>"Hora extra"</formula>
    </cfRule>
    <cfRule type="cellIs" dxfId="12" priority="9" operator="equal">
      <formula>"Banco de horas"</formula>
    </cfRule>
    <cfRule type="cellIs" dxfId="11" priority="10" operator="greaterThan">
      <formula>0</formula>
    </cfRule>
  </conditionalFormatting>
  <dataValidations count="2">
    <dataValidation type="list" allowBlank="1" showInputMessage="1" showErrorMessage="1" sqref="O7:O37" xr:uid="{00000000-0002-0000-0500-000000000000}">
      <formula1>"Banco de horas,Hora extra"</formula1>
      <formula2>0</formula2>
    </dataValidation>
    <dataValidation type="list" allowBlank="1" showInputMessage="1" showErrorMessage="1" sqref="C7:C37" xr:uid="{00000000-0002-0000-0500-000001000000}">
      <formula1>"Normal,Feriado,Folga(DSR),Falta Justificada"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O57"/>
  <sheetViews>
    <sheetView showGridLines="0" zoomScaleNormal="100" workbookViewId="0">
      <selection activeCell="B2" sqref="B2"/>
    </sheetView>
  </sheetViews>
  <sheetFormatPr defaultColWidth="8.5546875" defaultRowHeight="14.4" x14ac:dyDescent="0.3"/>
  <cols>
    <col min="1" max="1" width="15.44140625" customWidth="1"/>
    <col min="2" max="2" width="5.109375" customWidth="1"/>
    <col min="3" max="3" width="15.109375" customWidth="1"/>
    <col min="4" max="4" width="7.109375" customWidth="1"/>
    <col min="5" max="5" width="8.109375" customWidth="1"/>
    <col min="6" max="6" width="9.109375" customWidth="1"/>
    <col min="7" max="7" width="8.44140625" customWidth="1"/>
    <col min="8" max="8" width="1.109375" customWidth="1"/>
    <col min="9" max="9" width="11.33203125" customWidth="1"/>
    <col min="10" max="10" width="1.109375" customWidth="1"/>
    <col min="11" max="11" width="15" customWidth="1"/>
    <col min="12" max="12" width="1.109375" customWidth="1"/>
    <col min="13" max="13" width="11.88671875" customWidth="1"/>
    <col min="14" max="14" width="1.109375" customWidth="1"/>
    <col min="15" max="15" width="32.33203125" customWidth="1"/>
  </cols>
  <sheetData>
    <row r="2" spans="1:6" x14ac:dyDescent="0.3">
      <c r="A2" s="28" t="s">
        <v>67</v>
      </c>
      <c r="B2" s="5" t="s">
        <v>8</v>
      </c>
      <c r="C2" s="5"/>
      <c r="D2" s="5"/>
      <c r="E2" s="5"/>
      <c r="F2" s="5"/>
    </row>
    <row r="3" spans="1:6" x14ac:dyDescent="0.3">
      <c r="A3" s="28" t="s">
        <v>22</v>
      </c>
      <c r="B3" s="5" t="str">
        <f ca="1">INDIRECT("'"&amp;$B$2&amp;"'!"&amp;SUBSTITUTE(ADDRESS(ROW(),COLUMN(),4),ROW(),"")&amp;ROW()-1)</f>
        <v>Manutenção preventiva</v>
      </c>
      <c r="C3" s="5"/>
      <c r="D3" s="5"/>
      <c r="E3" s="5"/>
      <c r="F3" s="5"/>
    </row>
    <row r="4" spans="1:6" x14ac:dyDescent="0.3">
      <c r="A4" s="28" t="s">
        <v>25</v>
      </c>
      <c r="B4" s="5" t="str">
        <f ca="1">INDIRECT("'"&amp;$B$2&amp;"'!"&amp;SUBSTITUTE(ADDRESS(ROW(),COLUMN(),4),ROW(),"")&amp;ROW()-1)</f>
        <v>Técnico mecânico nível III</v>
      </c>
      <c r="C4" s="5"/>
      <c r="D4" s="5"/>
      <c r="E4" s="5"/>
      <c r="F4" s="5"/>
    </row>
    <row r="5" spans="1:6" x14ac:dyDescent="0.3">
      <c r="A5" s="28" t="s">
        <v>28</v>
      </c>
      <c r="B5" s="5" t="str">
        <f ca="1">INDIRECT("'"&amp;$B$2&amp;"'!"&amp;SUBSTITUTE(ADDRESS(ROW(),COLUMN(),4),ROW(),"")&amp;ROW()-1)</f>
        <v>935-1</v>
      </c>
      <c r="C5" s="5"/>
      <c r="D5" s="5"/>
      <c r="E5" s="5"/>
      <c r="F5" s="5"/>
    </row>
    <row r="6" spans="1:6" x14ac:dyDescent="0.3">
      <c r="A6" s="67"/>
      <c r="B6" s="67"/>
      <c r="C6" s="67"/>
    </row>
    <row r="7" spans="1:6" x14ac:dyDescent="0.3">
      <c r="B7" s="4" t="s">
        <v>41</v>
      </c>
      <c r="C7" s="4"/>
      <c r="D7" s="4"/>
      <c r="E7" s="4"/>
      <c r="F7" s="4"/>
    </row>
    <row r="8" spans="1:6" x14ac:dyDescent="0.3">
      <c r="B8" s="51" t="s">
        <v>30</v>
      </c>
      <c r="C8" s="51" t="s">
        <v>32</v>
      </c>
      <c r="D8" s="8" t="s">
        <v>33</v>
      </c>
      <c r="E8" s="8"/>
      <c r="F8" s="52" t="s">
        <v>34</v>
      </c>
    </row>
    <row r="9" spans="1:6" x14ac:dyDescent="0.3">
      <c r="B9" s="54" t="str">
        <f>PROPER(TEXT(1,"ddd"))</f>
        <v>Dom</v>
      </c>
      <c r="C9" s="68">
        <f t="shared" ref="C9:F15" ca="1" si="0">INDIRECT("'"&amp;$B$2&amp;"'!"&amp;SUBSTITUTE(ADDRESS(ROW(),COLUMN()+15,4),ROW(),"")&amp;ROW())</f>
        <v>0</v>
      </c>
      <c r="D9" s="68">
        <f t="shared" ca="1" si="0"/>
        <v>0</v>
      </c>
      <c r="E9" s="68">
        <f t="shared" ca="1" si="0"/>
        <v>0</v>
      </c>
      <c r="F9" s="68">
        <f t="shared" ca="1" si="0"/>
        <v>0</v>
      </c>
    </row>
    <row r="10" spans="1:6" x14ac:dyDescent="0.3">
      <c r="B10" s="54" t="str">
        <f>PROPER(TEXT(2,"ddd"))</f>
        <v>Seg</v>
      </c>
      <c r="C10" s="68">
        <f t="shared" ca="1" si="0"/>
        <v>0.33333333333333298</v>
      </c>
      <c r="D10" s="68">
        <f t="shared" ca="1" si="0"/>
        <v>0.5</v>
      </c>
      <c r="E10" s="68">
        <f t="shared" ca="1" si="0"/>
        <v>0.55208333333333304</v>
      </c>
      <c r="F10" s="68">
        <f t="shared" ca="1" si="0"/>
        <v>0.75208333333333299</v>
      </c>
    </row>
    <row r="11" spans="1:6" x14ac:dyDescent="0.3">
      <c r="B11" s="54" t="str">
        <f>PROPER(TEXT(3,"ddd"))</f>
        <v>Ter</v>
      </c>
      <c r="C11" s="68">
        <f t="shared" ca="1" si="0"/>
        <v>0.33333333333333298</v>
      </c>
      <c r="D11" s="68">
        <f t="shared" ca="1" si="0"/>
        <v>0.5</v>
      </c>
      <c r="E11" s="68">
        <f t="shared" ca="1" si="0"/>
        <v>0.55208333333333304</v>
      </c>
      <c r="F11" s="68">
        <f t="shared" ca="1" si="0"/>
        <v>0.75208333333333299</v>
      </c>
    </row>
    <row r="12" spans="1:6" x14ac:dyDescent="0.3">
      <c r="B12" s="54" t="str">
        <f>PROPER(TEXT(4,"ddd"))</f>
        <v>Qua</v>
      </c>
      <c r="C12" s="68">
        <f t="shared" ca="1" si="0"/>
        <v>0.33333333333333298</v>
      </c>
      <c r="D12" s="68">
        <f t="shared" ca="1" si="0"/>
        <v>0.5</v>
      </c>
      <c r="E12" s="68">
        <f t="shared" ca="1" si="0"/>
        <v>0.55208333333333304</v>
      </c>
      <c r="F12" s="68">
        <f t="shared" ca="1" si="0"/>
        <v>0.75208333333333299</v>
      </c>
    </row>
    <row r="13" spans="1:6" x14ac:dyDescent="0.3">
      <c r="B13" s="54" t="str">
        <f>PROPER(TEXT(5,"ddd"))</f>
        <v>Qui</v>
      </c>
      <c r="C13" s="68">
        <f t="shared" ca="1" si="0"/>
        <v>0.33333333333333298</v>
      </c>
      <c r="D13" s="68">
        <f t="shared" ca="1" si="0"/>
        <v>0.5</v>
      </c>
      <c r="E13" s="68">
        <f t="shared" ca="1" si="0"/>
        <v>0.55208333333333304</v>
      </c>
      <c r="F13" s="68">
        <f t="shared" ca="1" si="0"/>
        <v>0.75208333333333299</v>
      </c>
    </row>
    <row r="14" spans="1:6" x14ac:dyDescent="0.3">
      <c r="B14" s="54" t="str">
        <f>PROPER(TEXT(6,"ddd"))</f>
        <v>Sex</v>
      </c>
      <c r="C14" s="68">
        <f t="shared" ca="1" si="0"/>
        <v>0.33333333333333298</v>
      </c>
      <c r="D14" s="68">
        <f t="shared" ca="1" si="0"/>
        <v>0.5</v>
      </c>
      <c r="E14" s="68">
        <f t="shared" ca="1" si="0"/>
        <v>0.55208333333333304</v>
      </c>
      <c r="F14" s="68">
        <f t="shared" ca="1" si="0"/>
        <v>0.75208333333333299</v>
      </c>
    </row>
    <row r="15" spans="1:6" x14ac:dyDescent="0.3">
      <c r="B15" s="54" t="str">
        <f>PROPER(TEXT(7,"ddd"))</f>
        <v>Sáb</v>
      </c>
      <c r="C15" s="68">
        <f t="shared" ca="1" si="0"/>
        <v>0</v>
      </c>
      <c r="D15" s="68">
        <f t="shared" ca="1" si="0"/>
        <v>0</v>
      </c>
      <c r="E15" s="68">
        <f t="shared" ca="1" si="0"/>
        <v>0</v>
      </c>
      <c r="F15" s="68">
        <f t="shared" ca="1" si="0"/>
        <v>0</v>
      </c>
    </row>
    <row r="17" spans="1:15" x14ac:dyDescent="0.3">
      <c r="A17" s="10" t="s">
        <v>30</v>
      </c>
      <c r="B17" s="10"/>
      <c r="C17" s="39" t="s">
        <v>31</v>
      </c>
      <c r="D17" s="38" t="s">
        <v>32</v>
      </c>
      <c r="E17" s="10" t="s">
        <v>33</v>
      </c>
      <c r="F17" s="10"/>
      <c r="G17" s="38" t="s">
        <v>34</v>
      </c>
      <c r="I17" s="38" t="s">
        <v>35</v>
      </c>
      <c r="J17" s="40"/>
      <c r="K17" s="38" t="s">
        <v>36</v>
      </c>
      <c r="L17" s="40"/>
      <c r="M17" s="38" t="s">
        <v>24</v>
      </c>
      <c r="N17" s="40"/>
      <c r="O17" s="38" t="s">
        <v>68</v>
      </c>
    </row>
    <row r="18" spans="1:15" x14ac:dyDescent="0.3">
      <c r="A18" s="69">
        <f t="shared" ref="A18:G27" ca="1" si="1">INDIRECT("'"&amp;$B$2&amp;"'!"&amp;SUBSTITUTE(ADDRESS(ROW(),COLUMN(),4),ROW(),"")&amp;ROW()-11)</f>
        <v>42005</v>
      </c>
      <c r="B18" s="45" t="str">
        <f t="shared" ca="1" si="1"/>
        <v>Qui</v>
      </c>
      <c r="C18" s="69" t="str">
        <f t="shared" ca="1" si="1"/>
        <v>Feriado</v>
      </c>
      <c r="D18" s="70">
        <f t="shared" ca="1" si="1"/>
        <v>0.33333333333333298</v>
      </c>
      <c r="E18" s="70">
        <f t="shared" ca="1" si="1"/>
        <v>0.5</v>
      </c>
      <c r="F18" s="70">
        <f t="shared" ca="1" si="1"/>
        <v>0.55208333333333304</v>
      </c>
      <c r="G18" s="70">
        <f t="shared" ca="1" si="1"/>
        <v>0.79166666666666696</v>
      </c>
      <c r="I18" s="47">
        <f t="shared" ref="I18:I48" ca="1" si="2">INDIRECT("'"&amp;$B$2&amp;"'!"&amp;SUBSTITUTE(ADDRESS(ROW(),COLUMN(),4),ROW(),"")&amp;ROW()-11)</f>
        <v>0.40625000000000094</v>
      </c>
      <c r="K18" s="48">
        <f t="shared" ref="K18:K48" ca="1" si="3">INDIRECT("'"&amp;$B$2&amp;"'!"&amp;SUBSTITUTE(ADDRESS(ROW(),COLUMN(),4),ROW(),"")&amp;ROW()-11)</f>
        <v>0</v>
      </c>
      <c r="M18" s="48">
        <f t="shared" ref="M18:M48" ca="1" si="4">INDIRECT("'"&amp;$B$2&amp;"'!"&amp;SUBSTITUTE(ADDRESS(ROW(),COLUMN(),4),ROW(),"")&amp;ROW()-11)</f>
        <v>3.958333333333397E-2</v>
      </c>
      <c r="O18" s="71"/>
    </row>
    <row r="19" spans="1:15" x14ac:dyDescent="0.3">
      <c r="A19" s="69">
        <f t="shared" ca="1" si="1"/>
        <v>42006</v>
      </c>
      <c r="B19" s="45" t="str">
        <f t="shared" ca="1" si="1"/>
        <v>Sex</v>
      </c>
      <c r="C19" s="69" t="str">
        <f t="shared" ca="1" si="1"/>
        <v>Normal</v>
      </c>
      <c r="D19" s="70">
        <f t="shared" ca="1" si="1"/>
        <v>0.33333333333333298</v>
      </c>
      <c r="E19" s="70">
        <f t="shared" ca="1" si="1"/>
        <v>0.5</v>
      </c>
      <c r="F19" s="70">
        <f t="shared" ca="1" si="1"/>
        <v>0.55208333333333304</v>
      </c>
      <c r="G19" s="70">
        <f t="shared" ca="1" si="1"/>
        <v>0.75208333333333299</v>
      </c>
      <c r="H19" s="40"/>
      <c r="I19" s="47">
        <f t="shared" ca="1" si="2"/>
        <v>0.36666666666666697</v>
      </c>
      <c r="K19" s="48">
        <f t="shared" ca="1" si="3"/>
        <v>0</v>
      </c>
      <c r="M19" s="48">
        <f t="shared" ca="1" si="4"/>
        <v>0</v>
      </c>
      <c r="O19" s="71"/>
    </row>
    <row r="20" spans="1:15" x14ac:dyDescent="0.3">
      <c r="A20" s="69">
        <f t="shared" ca="1" si="1"/>
        <v>42007</v>
      </c>
      <c r="B20" s="45" t="str">
        <f t="shared" ca="1" si="1"/>
        <v>Sáb</v>
      </c>
      <c r="C20" s="69">
        <f t="shared" ca="1" si="1"/>
        <v>0</v>
      </c>
      <c r="D20" s="70">
        <f t="shared" ca="1" si="1"/>
        <v>0</v>
      </c>
      <c r="E20" s="70">
        <f t="shared" ca="1" si="1"/>
        <v>0</v>
      </c>
      <c r="F20" s="70">
        <f t="shared" ca="1" si="1"/>
        <v>0</v>
      </c>
      <c r="G20" s="70">
        <f t="shared" ca="1" si="1"/>
        <v>0</v>
      </c>
      <c r="I20" s="47">
        <f t="shared" ca="1" si="2"/>
        <v>0</v>
      </c>
      <c r="K20" s="48">
        <f t="shared" ca="1" si="3"/>
        <v>0</v>
      </c>
      <c r="M20" s="48">
        <f t="shared" ca="1" si="4"/>
        <v>0</v>
      </c>
      <c r="O20" s="71"/>
    </row>
    <row r="21" spans="1:15" x14ac:dyDescent="0.3">
      <c r="A21" s="69">
        <f t="shared" ca="1" si="1"/>
        <v>42008</v>
      </c>
      <c r="B21" s="45" t="str">
        <f t="shared" ca="1" si="1"/>
        <v>Dom</v>
      </c>
      <c r="C21" s="69">
        <f t="shared" ca="1" si="1"/>
        <v>0</v>
      </c>
      <c r="D21" s="70">
        <f t="shared" ca="1" si="1"/>
        <v>0</v>
      </c>
      <c r="E21" s="70">
        <f t="shared" ca="1" si="1"/>
        <v>0</v>
      </c>
      <c r="F21" s="70">
        <f t="shared" ca="1" si="1"/>
        <v>0</v>
      </c>
      <c r="G21" s="70">
        <f t="shared" ca="1" si="1"/>
        <v>0</v>
      </c>
      <c r="I21" s="47">
        <f t="shared" ca="1" si="2"/>
        <v>0</v>
      </c>
      <c r="K21" s="48">
        <f t="shared" ca="1" si="3"/>
        <v>0</v>
      </c>
      <c r="M21" s="48">
        <f t="shared" ca="1" si="4"/>
        <v>0</v>
      </c>
      <c r="O21" s="71"/>
    </row>
    <row r="22" spans="1:15" x14ac:dyDescent="0.3">
      <c r="A22" s="69">
        <f t="shared" ca="1" si="1"/>
        <v>42009</v>
      </c>
      <c r="B22" s="45" t="str">
        <f t="shared" ca="1" si="1"/>
        <v>Seg</v>
      </c>
      <c r="C22" s="69" t="str">
        <f t="shared" ca="1" si="1"/>
        <v>Falta Justificada</v>
      </c>
      <c r="D22" s="70">
        <f t="shared" ca="1" si="1"/>
        <v>0</v>
      </c>
      <c r="E22" s="70">
        <f t="shared" ca="1" si="1"/>
        <v>0</v>
      </c>
      <c r="F22" s="70">
        <f t="shared" ca="1" si="1"/>
        <v>0</v>
      </c>
      <c r="G22" s="70">
        <f t="shared" ca="1" si="1"/>
        <v>0</v>
      </c>
      <c r="I22" s="47">
        <f t="shared" ca="1" si="2"/>
        <v>0</v>
      </c>
      <c r="K22" s="48">
        <f t="shared" ca="1" si="3"/>
        <v>0</v>
      </c>
      <c r="M22" s="48">
        <f t="shared" ca="1" si="4"/>
        <v>0</v>
      </c>
      <c r="O22" s="71"/>
    </row>
    <row r="23" spans="1:15" x14ac:dyDescent="0.3">
      <c r="A23" s="69">
        <f t="shared" ca="1" si="1"/>
        <v>42010</v>
      </c>
      <c r="B23" s="45" t="str">
        <f t="shared" ca="1" si="1"/>
        <v>Ter</v>
      </c>
      <c r="C23" s="69" t="str">
        <f t="shared" ca="1" si="1"/>
        <v>Normal</v>
      </c>
      <c r="D23" s="70">
        <f t="shared" ca="1" si="1"/>
        <v>0.33333333333333298</v>
      </c>
      <c r="E23" s="70">
        <f t="shared" ca="1" si="1"/>
        <v>0.5</v>
      </c>
      <c r="F23" s="70">
        <f t="shared" ca="1" si="1"/>
        <v>0.55208333333333304</v>
      </c>
      <c r="G23" s="70">
        <f t="shared" ca="1" si="1"/>
        <v>0.75208333333333299</v>
      </c>
      <c r="I23" s="47">
        <f t="shared" ca="1" si="2"/>
        <v>0.36666666666666697</v>
      </c>
      <c r="K23" s="48">
        <f t="shared" ca="1" si="3"/>
        <v>0</v>
      </c>
      <c r="M23" s="48">
        <f t="shared" ca="1" si="4"/>
        <v>0</v>
      </c>
      <c r="O23" s="71"/>
    </row>
    <row r="24" spans="1:15" x14ac:dyDescent="0.3">
      <c r="A24" s="69">
        <f t="shared" ca="1" si="1"/>
        <v>42011</v>
      </c>
      <c r="B24" s="45" t="str">
        <f t="shared" ca="1" si="1"/>
        <v>Qua</v>
      </c>
      <c r="C24" s="69" t="str">
        <f t="shared" ca="1" si="1"/>
        <v>Normal</v>
      </c>
      <c r="D24" s="70">
        <f t="shared" ca="1" si="1"/>
        <v>0.33333333333333298</v>
      </c>
      <c r="E24" s="70">
        <f t="shared" ca="1" si="1"/>
        <v>0.5</v>
      </c>
      <c r="F24" s="70">
        <f t="shared" ca="1" si="1"/>
        <v>0.59375</v>
      </c>
      <c r="G24" s="70">
        <f t="shared" ca="1" si="1"/>
        <v>0.6875</v>
      </c>
      <c r="I24" s="47">
        <f t="shared" ca="1" si="2"/>
        <v>0.26041666666666702</v>
      </c>
      <c r="K24" s="48">
        <f t="shared" ca="1" si="3"/>
        <v>0.10624999999999996</v>
      </c>
      <c r="M24" s="48">
        <f t="shared" ca="1" si="4"/>
        <v>0</v>
      </c>
      <c r="O24" s="71"/>
    </row>
    <row r="25" spans="1:15" x14ac:dyDescent="0.3">
      <c r="A25" s="69">
        <f t="shared" ca="1" si="1"/>
        <v>42012</v>
      </c>
      <c r="B25" s="45" t="str">
        <f t="shared" ca="1" si="1"/>
        <v>Qui</v>
      </c>
      <c r="C25" s="69" t="str">
        <f t="shared" ca="1" si="1"/>
        <v>Normal</v>
      </c>
      <c r="D25" s="70">
        <f t="shared" ca="1" si="1"/>
        <v>0.33333333333333298</v>
      </c>
      <c r="E25" s="70">
        <f t="shared" ca="1" si="1"/>
        <v>0.5</v>
      </c>
      <c r="F25" s="70">
        <f t="shared" ca="1" si="1"/>
        <v>0.52083333333333304</v>
      </c>
      <c r="G25" s="70">
        <f t="shared" ca="1" si="1"/>
        <v>0.75208333333333299</v>
      </c>
      <c r="I25" s="47">
        <f t="shared" ca="1" si="2"/>
        <v>0.39791666666666697</v>
      </c>
      <c r="K25" s="48">
        <f t="shared" ca="1" si="3"/>
        <v>0</v>
      </c>
      <c r="M25" s="48">
        <f t="shared" ca="1" si="4"/>
        <v>3.125E-2</v>
      </c>
      <c r="O25" s="71"/>
    </row>
    <row r="26" spans="1:15" x14ac:dyDescent="0.3">
      <c r="A26" s="69">
        <f t="shared" ca="1" si="1"/>
        <v>42013</v>
      </c>
      <c r="B26" s="45" t="str">
        <f t="shared" ca="1" si="1"/>
        <v>Sex</v>
      </c>
      <c r="C26" s="69" t="str">
        <f t="shared" ca="1" si="1"/>
        <v>Normal</v>
      </c>
      <c r="D26" s="70">
        <f t="shared" ca="1" si="1"/>
        <v>0.344444444444444</v>
      </c>
      <c r="E26" s="70">
        <f t="shared" ca="1" si="1"/>
        <v>0.5</v>
      </c>
      <c r="F26" s="70">
        <f t="shared" ca="1" si="1"/>
        <v>0.55208333333333304</v>
      </c>
      <c r="G26" s="70">
        <f t="shared" ca="1" si="1"/>
        <v>0.75208333333333299</v>
      </c>
      <c r="I26" s="47">
        <f t="shared" ca="1" si="2"/>
        <v>0.35555555555555596</v>
      </c>
      <c r="K26" s="48">
        <f t="shared" ca="1" si="3"/>
        <v>1.1111111111111016E-2</v>
      </c>
      <c r="M26" s="48">
        <f t="shared" ca="1" si="4"/>
        <v>0</v>
      </c>
      <c r="O26" s="71"/>
    </row>
    <row r="27" spans="1:15" x14ac:dyDescent="0.3">
      <c r="A27" s="69">
        <f t="shared" ca="1" si="1"/>
        <v>42014</v>
      </c>
      <c r="B27" s="45" t="str">
        <f t="shared" ca="1" si="1"/>
        <v>Sáb</v>
      </c>
      <c r="C27" s="69">
        <f t="shared" ca="1" si="1"/>
        <v>0</v>
      </c>
      <c r="D27" s="70">
        <f t="shared" ca="1" si="1"/>
        <v>0</v>
      </c>
      <c r="E27" s="70">
        <f t="shared" ca="1" si="1"/>
        <v>0</v>
      </c>
      <c r="F27" s="70">
        <f t="shared" ca="1" si="1"/>
        <v>0</v>
      </c>
      <c r="G27" s="70">
        <f t="shared" ca="1" si="1"/>
        <v>0</v>
      </c>
      <c r="I27" s="47">
        <f t="shared" ca="1" si="2"/>
        <v>0</v>
      </c>
      <c r="K27" s="48">
        <f t="shared" ca="1" si="3"/>
        <v>0</v>
      </c>
      <c r="M27" s="48">
        <f t="shared" ca="1" si="4"/>
        <v>0</v>
      </c>
      <c r="O27" s="71"/>
    </row>
    <row r="28" spans="1:15" x14ac:dyDescent="0.3">
      <c r="A28" s="69">
        <f t="shared" ref="A28:G37" ca="1" si="5">INDIRECT("'"&amp;$B$2&amp;"'!"&amp;SUBSTITUTE(ADDRESS(ROW(),COLUMN(),4),ROW(),"")&amp;ROW()-11)</f>
        <v>42015</v>
      </c>
      <c r="B28" s="45" t="str">
        <f t="shared" ca="1" si="5"/>
        <v>Dom</v>
      </c>
      <c r="C28" s="69">
        <f t="shared" ca="1" si="5"/>
        <v>0</v>
      </c>
      <c r="D28" s="70">
        <f t="shared" ca="1" si="5"/>
        <v>0</v>
      </c>
      <c r="E28" s="70">
        <f t="shared" ca="1" si="5"/>
        <v>0</v>
      </c>
      <c r="F28" s="70">
        <f t="shared" ca="1" si="5"/>
        <v>0</v>
      </c>
      <c r="G28" s="70">
        <f t="shared" ca="1" si="5"/>
        <v>0</v>
      </c>
      <c r="I28" s="47">
        <f t="shared" ca="1" si="2"/>
        <v>0</v>
      </c>
      <c r="K28" s="48">
        <f t="shared" ca="1" si="3"/>
        <v>0</v>
      </c>
      <c r="M28" s="48">
        <f t="shared" ca="1" si="4"/>
        <v>0</v>
      </c>
      <c r="O28" s="71"/>
    </row>
    <row r="29" spans="1:15" x14ac:dyDescent="0.3">
      <c r="A29" s="69">
        <f t="shared" ca="1" si="5"/>
        <v>42016</v>
      </c>
      <c r="B29" s="45" t="str">
        <f t="shared" ca="1" si="5"/>
        <v>Seg</v>
      </c>
      <c r="C29" s="69" t="str">
        <f t="shared" ca="1" si="5"/>
        <v>Normal</v>
      </c>
      <c r="D29" s="70">
        <f t="shared" ca="1" si="5"/>
        <v>0.33333333333333298</v>
      </c>
      <c r="E29" s="70">
        <f t="shared" ca="1" si="5"/>
        <v>0.5</v>
      </c>
      <c r="F29" s="70">
        <f t="shared" ca="1" si="5"/>
        <v>0.55208333333333304</v>
      </c>
      <c r="G29" s="70">
        <f t="shared" ca="1" si="5"/>
        <v>0.79166666666666696</v>
      </c>
      <c r="I29" s="47">
        <f t="shared" ca="1" si="2"/>
        <v>0.40625000000000094</v>
      </c>
      <c r="K29" s="48">
        <f t="shared" ca="1" si="3"/>
        <v>0</v>
      </c>
      <c r="M29" s="48">
        <f t="shared" ca="1" si="4"/>
        <v>3.958333333333397E-2</v>
      </c>
      <c r="O29" s="71"/>
    </row>
    <row r="30" spans="1:15" x14ac:dyDescent="0.3">
      <c r="A30" s="69">
        <f t="shared" ca="1" si="5"/>
        <v>42017</v>
      </c>
      <c r="B30" s="45" t="str">
        <f t="shared" ca="1" si="5"/>
        <v>Ter</v>
      </c>
      <c r="C30" s="69" t="str">
        <f t="shared" ca="1" si="5"/>
        <v>Normal</v>
      </c>
      <c r="D30" s="70">
        <f t="shared" ca="1" si="5"/>
        <v>0.38611111111111102</v>
      </c>
      <c r="E30" s="70">
        <f t="shared" ca="1" si="5"/>
        <v>0.5</v>
      </c>
      <c r="F30" s="70">
        <f t="shared" ca="1" si="5"/>
        <v>0.55208333333333304</v>
      </c>
      <c r="G30" s="70">
        <f t="shared" ca="1" si="5"/>
        <v>0.95833333333333304</v>
      </c>
      <c r="I30" s="47">
        <f t="shared" ca="1" si="2"/>
        <v>0.52013888888888893</v>
      </c>
      <c r="K30" s="48">
        <f t="shared" ca="1" si="3"/>
        <v>0</v>
      </c>
      <c r="M30" s="48">
        <f t="shared" ca="1" si="4"/>
        <v>0.15347222222222195</v>
      </c>
      <c r="O30" s="71"/>
    </row>
    <row r="31" spans="1:15" x14ac:dyDescent="0.3">
      <c r="A31" s="69">
        <f t="shared" ca="1" si="5"/>
        <v>42018</v>
      </c>
      <c r="B31" s="45" t="str">
        <f t="shared" ca="1" si="5"/>
        <v>Qua</v>
      </c>
      <c r="C31" s="69" t="str">
        <f t="shared" ca="1" si="5"/>
        <v>Normal</v>
      </c>
      <c r="D31" s="70">
        <f t="shared" ca="1" si="5"/>
        <v>0.33333333333333298</v>
      </c>
      <c r="E31" s="70">
        <f t="shared" ca="1" si="5"/>
        <v>0.5</v>
      </c>
      <c r="F31" s="70">
        <f t="shared" ca="1" si="5"/>
        <v>0.55208333333333304</v>
      </c>
      <c r="G31" s="70">
        <f t="shared" ca="1" si="5"/>
        <v>0.75208333333333299</v>
      </c>
      <c r="I31" s="47">
        <f t="shared" ca="1" si="2"/>
        <v>0.36666666666666697</v>
      </c>
      <c r="K31" s="48">
        <f t="shared" ca="1" si="3"/>
        <v>0</v>
      </c>
      <c r="M31" s="48">
        <f t="shared" ca="1" si="4"/>
        <v>0</v>
      </c>
      <c r="O31" s="71"/>
    </row>
    <row r="32" spans="1:15" x14ac:dyDescent="0.3">
      <c r="A32" s="69">
        <f t="shared" ca="1" si="5"/>
        <v>42019</v>
      </c>
      <c r="B32" s="45" t="str">
        <f t="shared" ca="1" si="5"/>
        <v>Qui</v>
      </c>
      <c r="C32" s="69" t="str">
        <f t="shared" ca="1" si="5"/>
        <v>Normal</v>
      </c>
      <c r="D32" s="70">
        <f t="shared" ca="1" si="5"/>
        <v>0.33333333333333298</v>
      </c>
      <c r="E32" s="70">
        <f t="shared" ca="1" si="5"/>
        <v>0.5</v>
      </c>
      <c r="F32" s="70">
        <f t="shared" ca="1" si="5"/>
        <v>0.66666666666666696</v>
      </c>
      <c r="G32" s="70">
        <f t="shared" ca="1" si="5"/>
        <v>0.91666666666666696</v>
      </c>
      <c r="I32" s="47">
        <f t="shared" ca="1" si="2"/>
        <v>0.41666666666666702</v>
      </c>
      <c r="K32" s="48">
        <f t="shared" ca="1" si="3"/>
        <v>0</v>
      </c>
      <c r="M32" s="48">
        <f t="shared" ca="1" si="4"/>
        <v>5.0000000000000044E-2</v>
      </c>
      <c r="O32" s="71"/>
    </row>
    <row r="33" spans="1:15" x14ac:dyDescent="0.3">
      <c r="A33" s="69">
        <f t="shared" ca="1" si="5"/>
        <v>42020</v>
      </c>
      <c r="B33" s="45" t="str">
        <f t="shared" ca="1" si="5"/>
        <v>Sex</v>
      </c>
      <c r="C33" s="69" t="str">
        <f t="shared" ca="1" si="5"/>
        <v>Normal</v>
      </c>
      <c r="D33" s="70">
        <f t="shared" ca="1" si="5"/>
        <v>0.33333333333333298</v>
      </c>
      <c r="E33" s="70">
        <f t="shared" ca="1" si="5"/>
        <v>0.5</v>
      </c>
      <c r="F33" s="70">
        <f t="shared" ca="1" si="5"/>
        <v>0.55208333333333304</v>
      </c>
      <c r="G33" s="70">
        <f t="shared" ca="1" si="5"/>
        <v>0.75208333333333299</v>
      </c>
      <c r="I33" s="47">
        <f t="shared" ca="1" si="2"/>
        <v>0.36666666666666697</v>
      </c>
      <c r="K33" s="48">
        <f t="shared" ca="1" si="3"/>
        <v>0</v>
      </c>
      <c r="M33" s="48">
        <f t="shared" ca="1" si="4"/>
        <v>0</v>
      </c>
      <c r="O33" s="71"/>
    </row>
    <row r="34" spans="1:15" x14ac:dyDescent="0.3">
      <c r="A34" s="69">
        <f t="shared" ca="1" si="5"/>
        <v>42021</v>
      </c>
      <c r="B34" s="45" t="str">
        <f t="shared" ca="1" si="5"/>
        <v>Sáb</v>
      </c>
      <c r="C34" s="69">
        <f t="shared" ca="1" si="5"/>
        <v>0</v>
      </c>
      <c r="D34" s="70">
        <f t="shared" ca="1" si="5"/>
        <v>0</v>
      </c>
      <c r="E34" s="70">
        <f t="shared" ca="1" si="5"/>
        <v>0</v>
      </c>
      <c r="F34" s="70">
        <f t="shared" ca="1" si="5"/>
        <v>0</v>
      </c>
      <c r="G34" s="70">
        <f t="shared" ca="1" si="5"/>
        <v>0</v>
      </c>
      <c r="I34" s="47">
        <f t="shared" ca="1" si="2"/>
        <v>0</v>
      </c>
      <c r="K34" s="48">
        <f t="shared" ca="1" si="3"/>
        <v>0</v>
      </c>
      <c r="M34" s="48">
        <f t="shared" ca="1" si="4"/>
        <v>0</v>
      </c>
      <c r="O34" s="71"/>
    </row>
    <row r="35" spans="1:15" x14ac:dyDescent="0.3">
      <c r="A35" s="69">
        <f t="shared" ca="1" si="5"/>
        <v>42022</v>
      </c>
      <c r="B35" s="45" t="str">
        <f t="shared" ca="1" si="5"/>
        <v>Dom</v>
      </c>
      <c r="C35" s="69">
        <f t="shared" ca="1" si="5"/>
        <v>0</v>
      </c>
      <c r="D35" s="70">
        <f t="shared" ca="1" si="5"/>
        <v>0</v>
      </c>
      <c r="E35" s="70">
        <f t="shared" ca="1" si="5"/>
        <v>0</v>
      </c>
      <c r="F35" s="70">
        <f t="shared" ca="1" si="5"/>
        <v>0</v>
      </c>
      <c r="G35" s="70">
        <f t="shared" ca="1" si="5"/>
        <v>0</v>
      </c>
      <c r="I35" s="47">
        <f t="shared" ca="1" si="2"/>
        <v>0</v>
      </c>
      <c r="K35" s="48">
        <f t="shared" ca="1" si="3"/>
        <v>0</v>
      </c>
      <c r="M35" s="48">
        <f t="shared" ca="1" si="4"/>
        <v>0</v>
      </c>
      <c r="O35" s="71"/>
    </row>
    <row r="36" spans="1:15" x14ac:dyDescent="0.3">
      <c r="A36" s="69">
        <f t="shared" ca="1" si="5"/>
        <v>42023</v>
      </c>
      <c r="B36" s="45" t="str">
        <f t="shared" ca="1" si="5"/>
        <v>Seg</v>
      </c>
      <c r="C36" s="69" t="str">
        <f t="shared" ca="1" si="5"/>
        <v>Normal</v>
      </c>
      <c r="D36" s="70">
        <f t="shared" ca="1" si="5"/>
        <v>0.33333333333333298</v>
      </c>
      <c r="E36" s="70">
        <f t="shared" ca="1" si="5"/>
        <v>0.5</v>
      </c>
      <c r="F36" s="70">
        <f t="shared" ca="1" si="5"/>
        <v>0.54166666666666696</v>
      </c>
      <c r="G36" s="70">
        <f t="shared" ca="1" si="5"/>
        <v>0.76041666666666696</v>
      </c>
      <c r="I36" s="47">
        <f t="shared" ca="1" si="2"/>
        <v>0.38541666666666702</v>
      </c>
      <c r="K36" s="48">
        <f t="shared" ca="1" si="3"/>
        <v>0</v>
      </c>
      <c r="M36" s="48">
        <f t="shared" ca="1" si="4"/>
        <v>1.8750000000000044E-2</v>
      </c>
      <c r="O36" s="71"/>
    </row>
    <row r="37" spans="1:15" x14ac:dyDescent="0.3">
      <c r="A37" s="69">
        <f t="shared" ca="1" si="5"/>
        <v>42024</v>
      </c>
      <c r="B37" s="45" t="str">
        <f t="shared" ca="1" si="5"/>
        <v>Ter</v>
      </c>
      <c r="C37" s="69" t="str">
        <f t="shared" ca="1" si="5"/>
        <v>Normal</v>
      </c>
      <c r="D37" s="70">
        <f t="shared" ca="1" si="5"/>
        <v>0.33333333333333298</v>
      </c>
      <c r="E37" s="70">
        <f t="shared" ca="1" si="5"/>
        <v>0.5</v>
      </c>
      <c r="F37" s="70">
        <f t="shared" ca="1" si="5"/>
        <v>0.55208333333333304</v>
      </c>
      <c r="G37" s="70">
        <f t="shared" ca="1" si="5"/>
        <v>0.75208333333333299</v>
      </c>
      <c r="I37" s="47">
        <f t="shared" ca="1" si="2"/>
        <v>0.36666666666666697</v>
      </c>
      <c r="K37" s="48">
        <f t="shared" ca="1" si="3"/>
        <v>0</v>
      </c>
      <c r="M37" s="48">
        <f t="shared" ca="1" si="4"/>
        <v>0</v>
      </c>
      <c r="O37" s="71"/>
    </row>
    <row r="38" spans="1:15" x14ac:dyDescent="0.3">
      <c r="A38" s="69">
        <f t="shared" ref="A38:G48" ca="1" si="6">INDIRECT("'"&amp;$B$2&amp;"'!"&amp;SUBSTITUTE(ADDRESS(ROW(),COLUMN(),4),ROW(),"")&amp;ROW()-11)</f>
        <v>42025</v>
      </c>
      <c r="B38" s="45" t="str">
        <f t="shared" ca="1" si="6"/>
        <v>Qua</v>
      </c>
      <c r="C38" s="69" t="str">
        <f t="shared" ca="1" si="6"/>
        <v>Normal</v>
      </c>
      <c r="D38" s="70">
        <f t="shared" ca="1" si="6"/>
        <v>0.33333333333333298</v>
      </c>
      <c r="E38" s="70">
        <f t="shared" ca="1" si="6"/>
        <v>0.48958333333333298</v>
      </c>
      <c r="F38" s="70">
        <f t="shared" ca="1" si="6"/>
        <v>0.55208333333333304</v>
      </c>
      <c r="G38" s="70">
        <f t="shared" ca="1" si="6"/>
        <v>0.79166666666666696</v>
      </c>
      <c r="I38" s="47">
        <f t="shared" ca="1" si="2"/>
        <v>0.39583333333333393</v>
      </c>
      <c r="K38" s="48">
        <f t="shared" ca="1" si="3"/>
        <v>0</v>
      </c>
      <c r="M38" s="48">
        <f t="shared" ca="1" si="4"/>
        <v>2.9166666666666952E-2</v>
      </c>
      <c r="O38" s="71"/>
    </row>
    <row r="39" spans="1:15" x14ac:dyDescent="0.3">
      <c r="A39" s="69">
        <f t="shared" ca="1" si="6"/>
        <v>42026</v>
      </c>
      <c r="B39" s="45" t="str">
        <f t="shared" ca="1" si="6"/>
        <v>Qui</v>
      </c>
      <c r="C39" s="69" t="str">
        <f t="shared" ca="1" si="6"/>
        <v>Normal</v>
      </c>
      <c r="D39" s="70">
        <f t="shared" ca="1" si="6"/>
        <v>0.33333333333333298</v>
      </c>
      <c r="E39" s="70">
        <f t="shared" ca="1" si="6"/>
        <v>0.5</v>
      </c>
      <c r="F39" s="70">
        <f t="shared" ca="1" si="6"/>
        <v>0.55208333333333304</v>
      </c>
      <c r="G39" s="70">
        <f t="shared" ca="1" si="6"/>
        <v>0.75208333333333299</v>
      </c>
      <c r="I39" s="47">
        <f t="shared" ca="1" si="2"/>
        <v>0.36666666666666697</v>
      </c>
      <c r="K39" s="48">
        <f t="shared" ca="1" si="3"/>
        <v>0</v>
      </c>
      <c r="M39" s="48">
        <f t="shared" ca="1" si="4"/>
        <v>0</v>
      </c>
      <c r="O39" s="71"/>
    </row>
    <row r="40" spans="1:15" x14ac:dyDescent="0.3">
      <c r="A40" s="69">
        <f t="shared" ca="1" si="6"/>
        <v>42027</v>
      </c>
      <c r="B40" s="45" t="str">
        <f t="shared" ca="1" si="6"/>
        <v>Sex</v>
      </c>
      <c r="C40" s="69" t="str">
        <f t="shared" ca="1" si="6"/>
        <v>Normal</v>
      </c>
      <c r="D40" s="70">
        <f t="shared" ca="1" si="6"/>
        <v>0.33333333333333298</v>
      </c>
      <c r="E40" s="70">
        <f t="shared" ca="1" si="6"/>
        <v>0.5</v>
      </c>
      <c r="F40" s="70">
        <f t="shared" ca="1" si="6"/>
        <v>0.55208333333333304</v>
      </c>
      <c r="G40" s="70">
        <f t="shared" ca="1" si="6"/>
        <v>0.70833333333333304</v>
      </c>
      <c r="I40" s="47">
        <f t="shared" ca="1" si="2"/>
        <v>0.32291666666666702</v>
      </c>
      <c r="K40" s="48">
        <f t="shared" ca="1" si="3"/>
        <v>4.3749999999999956E-2</v>
      </c>
      <c r="M40" s="48">
        <f t="shared" ca="1" si="4"/>
        <v>0</v>
      </c>
      <c r="O40" s="71"/>
    </row>
    <row r="41" spans="1:15" x14ac:dyDescent="0.3">
      <c r="A41" s="69">
        <f t="shared" ca="1" si="6"/>
        <v>42028</v>
      </c>
      <c r="B41" s="45" t="str">
        <f t="shared" ca="1" si="6"/>
        <v>Sáb</v>
      </c>
      <c r="C41" s="69">
        <f t="shared" ca="1" si="6"/>
        <v>0</v>
      </c>
      <c r="D41" s="70">
        <f t="shared" ca="1" si="6"/>
        <v>0</v>
      </c>
      <c r="E41" s="70">
        <f t="shared" ca="1" si="6"/>
        <v>0</v>
      </c>
      <c r="F41" s="70">
        <f t="shared" ca="1" si="6"/>
        <v>0</v>
      </c>
      <c r="G41" s="70">
        <f t="shared" ca="1" si="6"/>
        <v>0</v>
      </c>
      <c r="I41" s="47">
        <f t="shared" ca="1" si="2"/>
        <v>0</v>
      </c>
      <c r="K41" s="48">
        <f t="shared" ca="1" si="3"/>
        <v>0</v>
      </c>
      <c r="M41" s="48">
        <f t="shared" ca="1" si="4"/>
        <v>0</v>
      </c>
      <c r="O41" s="71"/>
    </row>
    <row r="42" spans="1:15" x14ac:dyDescent="0.3">
      <c r="A42" s="69">
        <f t="shared" ca="1" si="6"/>
        <v>42029</v>
      </c>
      <c r="B42" s="45" t="str">
        <f t="shared" ca="1" si="6"/>
        <v>Dom</v>
      </c>
      <c r="C42" s="69">
        <f t="shared" ca="1" si="6"/>
        <v>0</v>
      </c>
      <c r="D42" s="70">
        <f t="shared" ca="1" si="6"/>
        <v>0</v>
      </c>
      <c r="E42" s="70">
        <f t="shared" ca="1" si="6"/>
        <v>0</v>
      </c>
      <c r="F42" s="70">
        <f t="shared" ca="1" si="6"/>
        <v>0</v>
      </c>
      <c r="G42" s="70">
        <f t="shared" ca="1" si="6"/>
        <v>0</v>
      </c>
      <c r="I42" s="47">
        <f t="shared" ca="1" si="2"/>
        <v>0</v>
      </c>
      <c r="K42" s="48">
        <f t="shared" ca="1" si="3"/>
        <v>0</v>
      </c>
      <c r="M42" s="48">
        <f t="shared" ca="1" si="4"/>
        <v>0</v>
      </c>
      <c r="O42" s="71"/>
    </row>
    <row r="43" spans="1:15" x14ac:dyDescent="0.3">
      <c r="A43" s="69">
        <f t="shared" ca="1" si="6"/>
        <v>42030</v>
      </c>
      <c r="B43" s="45" t="str">
        <f t="shared" ca="1" si="6"/>
        <v>Seg</v>
      </c>
      <c r="C43" s="69" t="str">
        <f t="shared" ca="1" si="6"/>
        <v>Normal</v>
      </c>
      <c r="D43" s="70">
        <f t="shared" ca="1" si="6"/>
        <v>0.33333333333333298</v>
      </c>
      <c r="E43" s="70">
        <f t="shared" ca="1" si="6"/>
        <v>0.5</v>
      </c>
      <c r="F43" s="70">
        <f t="shared" ca="1" si="6"/>
        <v>0.55208333333333304</v>
      </c>
      <c r="G43" s="70">
        <f t="shared" ca="1" si="6"/>
        <v>0.75208333333333299</v>
      </c>
      <c r="I43" s="47">
        <f t="shared" ca="1" si="2"/>
        <v>0.36666666666666697</v>
      </c>
      <c r="K43" s="48">
        <f t="shared" ca="1" si="3"/>
        <v>0</v>
      </c>
      <c r="M43" s="48">
        <f t="shared" ca="1" si="4"/>
        <v>0</v>
      </c>
      <c r="O43" s="71"/>
    </row>
    <row r="44" spans="1:15" x14ac:dyDescent="0.3">
      <c r="A44" s="69">
        <f t="shared" ca="1" si="6"/>
        <v>42031</v>
      </c>
      <c r="B44" s="45" t="str">
        <f t="shared" ca="1" si="6"/>
        <v>Ter</v>
      </c>
      <c r="C44" s="69" t="str">
        <f t="shared" ca="1" si="6"/>
        <v>Normal</v>
      </c>
      <c r="D44" s="70">
        <f t="shared" ca="1" si="6"/>
        <v>0.33333333333333298</v>
      </c>
      <c r="E44" s="70">
        <f t="shared" ca="1" si="6"/>
        <v>0.5</v>
      </c>
      <c r="F44" s="70">
        <f t="shared" ca="1" si="6"/>
        <v>0.55208333333333304</v>
      </c>
      <c r="G44" s="70">
        <f t="shared" ca="1" si="6"/>
        <v>0.75208333333333299</v>
      </c>
      <c r="I44" s="47">
        <f t="shared" ca="1" si="2"/>
        <v>0.36666666666666697</v>
      </c>
      <c r="K44" s="48">
        <f t="shared" ca="1" si="3"/>
        <v>0</v>
      </c>
      <c r="M44" s="48">
        <f t="shared" ca="1" si="4"/>
        <v>0</v>
      </c>
      <c r="O44" s="71"/>
    </row>
    <row r="45" spans="1:15" x14ac:dyDescent="0.3">
      <c r="A45" s="69">
        <f t="shared" ca="1" si="6"/>
        <v>42032</v>
      </c>
      <c r="B45" s="45" t="str">
        <f t="shared" ca="1" si="6"/>
        <v>Qua</v>
      </c>
      <c r="C45" s="69" t="str">
        <f t="shared" ca="1" si="6"/>
        <v>Normal</v>
      </c>
      <c r="D45" s="70">
        <f t="shared" ca="1" si="6"/>
        <v>0.33333333333333298</v>
      </c>
      <c r="E45" s="70">
        <f t="shared" ca="1" si="6"/>
        <v>0.5</v>
      </c>
      <c r="F45" s="70">
        <f t="shared" ca="1" si="6"/>
        <v>0.51041666666666696</v>
      </c>
      <c r="G45" s="70">
        <f t="shared" ca="1" si="6"/>
        <v>0.75208333333333299</v>
      </c>
      <c r="I45" s="47">
        <f t="shared" ca="1" si="2"/>
        <v>0.40833333333333305</v>
      </c>
      <c r="K45" s="48">
        <f t="shared" ca="1" si="3"/>
        <v>0</v>
      </c>
      <c r="M45" s="48">
        <f t="shared" ca="1" si="4"/>
        <v>4.1666666666666075E-2</v>
      </c>
      <c r="O45" s="71"/>
    </row>
    <row r="46" spans="1:15" x14ac:dyDescent="0.3">
      <c r="A46" s="69">
        <f t="shared" ca="1" si="6"/>
        <v>42033</v>
      </c>
      <c r="B46" s="45" t="str">
        <f t="shared" ca="1" si="6"/>
        <v>Qui</v>
      </c>
      <c r="C46" s="69" t="str">
        <f t="shared" ca="1" si="6"/>
        <v>Normal</v>
      </c>
      <c r="D46" s="70">
        <f t="shared" ca="1" si="6"/>
        <v>0.33333333333333298</v>
      </c>
      <c r="E46" s="70">
        <f t="shared" ca="1" si="6"/>
        <v>0.5</v>
      </c>
      <c r="F46" s="70">
        <f t="shared" ca="1" si="6"/>
        <v>0.55208333333333304</v>
      </c>
      <c r="G46" s="70">
        <f t="shared" ca="1" si="6"/>
        <v>0.75208333333333299</v>
      </c>
      <c r="I46" s="47">
        <f t="shared" ca="1" si="2"/>
        <v>0.36666666666666697</v>
      </c>
      <c r="K46" s="48">
        <f t="shared" ca="1" si="3"/>
        <v>0</v>
      </c>
      <c r="M46" s="48">
        <f t="shared" ca="1" si="4"/>
        <v>0</v>
      </c>
      <c r="O46" s="71"/>
    </row>
    <row r="47" spans="1:15" x14ac:dyDescent="0.3">
      <c r="A47" s="69">
        <f t="shared" ca="1" si="6"/>
        <v>42034</v>
      </c>
      <c r="B47" s="45" t="str">
        <f t="shared" ca="1" si="6"/>
        <v>Sex</v>
      </c>
      <c r="C47" s="69" t="str">
        <f t="shared" ca="1" si="6"/>
        <v>Normal</v>
      </c>
      <c r="D47" s="70">
        <f t="shared" ca="1" si="6"/>
        <v>0.33333333333333298</v>
      </c>
      <c r="E47" s="70">
        <f t="shared" ca="1" si="6"/>
        <v>0.5</v>
      </c>
      <c r="F47" s="70">
        <f t="shared" ca="1" si="6"/>
        <v>0.55208333333333304</v>
      </c>
      <c r="G47" s="70">
        <f t="shared" ca="1" si="6"/>
        <v>0.75208333333333299</v>
      </c>
      <c r="I47" s="47">
        <f t="shared" ca="1" si="2"/>
        <v>0.36666666666666697</v>
      </c>
      <c r="K47" s="48">
        <f t="shared" ca="1" si="3"/>
        <v>0</v>
      </c>
      <c r="M47" s="48">
        <f t="shared" ca="1" si="4"/>
        <v>0</v>
      </c>
      <c r="O47" s="71"/>
    </row>
    <row r="48" spans="1:15" x14ac:dyDescent="0.3">
      <c r="A48" s="69">
        <f t="shared" ca="1" si="6"/>
        <v>42035</v>
      </c>
      <c r="B48" s="45" t="str">
        <f t="shared" ca="1" si="6"/>
        <v>Sáb</v>
      </c>
      <c r="C48" s="69" t="str">
        <f t="shared" ca="1" si="6"/>
        <v>Folga(DSR)</v>
      </c>
      <c r="D48" s="70">
        <f t="shared" ca="1" si="6"/>
        <v>0.33333333333333298</v>
      </c>
      <c r="E48" s="70">
        <f t="shared" ca="1" si="6"/>
        <v>0</v>
      </c>
      <c r="F48" s="70">
        <f t="shared" ca="1" si="6"/>
        <v>0</v>
      </c>
      <c r="G48" s="70">
        <f t="shared" ca="1" si="6"/>
        <v>0.5</v>
      </c>
      <c r="I48" s="47">
        <f t="shared" ca="1" si="2"/>
        <v>0.16666666666666702</v>
      </c>
      <c r="K48" s="48">
        <f t="shared" ca="1" si="3"/>
        <v>0</v>
      </c>
      <c r="M48" s="48">
        <f t="shared" ca="1" si="4"/>
        <v>0.16666666666666702</v>
      </c>
      <c r="O48" s="71"/>
    </row>
    <row r="50" spans="1:15" x14ac:dyDescent="0.3">
      <c r="A50" s="3" t="s">
        <v>69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</row>
    <row r="51" spans="1:15" x14ac:dyDescent="0.3">
      <c r="A51" s="72" t="s">
        <v>70</v>
      </c>
      <c r="B51" s="2" t="s">
        <v>24</v>
      </c>
      <c r="C51" s="2"/>
      <c r="D51" s="2" t="s">
        <v>71</v>
      </c>
      <c r="E51" s="2"/>
      <c r="F51" s="2" t="s">
        <v>72</v>
      </c>
      <c r="G51" s="2"/>
      <c r="H51" s="2"/>
      <c r="I51" s="2" t="s">
        <v>73</v>
      </c>
      <c r="J51" s="2"/>
      <c r="K51" s="2"/>
      <c r="L51" s="2"/>
      <c r="M51" s="2"/>
      <c r="N51" s="2"/>
      <c r="O51" s="2"/>
    </row>
    <row r="52" spans="1:15" ht="27.75" customHeight="1" x14ac:dyDescent="0.3">
      <c r="A52" s="73">
        <f ca="1">SUM($I$18:$I$48)</f>
        <v>8.1090277777777864</v>
      </c>
      <c r="B52" s="1">
        <f ca="1">SUM($M$18:$M$48)-SUM(K18:K48)</f>
        <v>0.40902777777777916</v>
      </c>
      <c r="C52" s="1"/>
      <c r="D52" s="103">
        <f ca="1">INDIRECT("'"&amp;$B$2&amp;"'!"&amp;SUBSTITUTE(ADDRESS(ROW(),COLUMN()+14,4),ROW(),"")&amp;ROW()-20)</f>
        <v>0.16666666666666702</v>
      </c>
      <c r="E52" s="103"/>
      <c r="F52" s="1">
        <f ca="1">INDIRECT("'"&amp;$B$2&amp;"'!"&amp;SUBSTITUTE(ADDRESS(ROW(),COLUMN()+12,4),ROW(),"")&amp;ROW()-17)</f>
        <v>4.1666666666666075E-2</v>
      </c>
      <c r="G52" s="1"/>
      <c r="H52" s="1"/>
      <c r="I52" s="104"/>
      <c r="J52" s="104"/>
      <c r="K52" s="104"/>
      <c r="L52" s="104"/>
      <c r="M52" s="104"/>
      <c r="N52" s="104"/>
      <c r="O52" s="104"/>
    </row>
    <row r="53" spans="1:15" x14ac:dyDescent="0.3">
      <c r="A53" s="74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6"/>
    </row>
    <row r="54" spans="1:15" x14ac:dyDescent="0.3">
      <c r="A54" s="77" t="s">
        <v>74</v>
      </c>
      <c r="B54" s="78" t="s">
        <v>75</v>
      </c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9"/>
    </row>
    <row r="55" spans="1:15" ht="25.5" customHeight="1" x14ac:dyDescent="0.3">
      <c r="A55" s="80" t="s">
        <v>76</v>
      </c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9"/>
    </row>
    <row r="56" spans="1:15" ht="25.5" customHeight="1" x14ac:dyDescent="0.3">
      <c r="A56" s="80" t="s">
        <v>76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9"/>
    </row>
    <row r="57" spans="1:15" x14ac:dyDescent="0.3">
      <c r="A57" s="81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3"/>
    </row>
  </sheetData>
  <sheetProtection sheet="1" objects="1" scenarios="1"/>
  <mergeCells count="17">
    <mergeCell ref="B52:C52"/>
    <mergeCell ref="D52:E52"/>
    <mergeCell ref="F52:H52"/>
    <mergeCell ref="I52:O52"/>
    <mergeCell ref="D8:E8"/>
    <mergeCell ref="A17:B17"/>
    <mergeCell ref="E17:F17"/>
    <mergeCell ref="A50:O50"/>
    <mergeCell ref="B51:C51"/>
    <mergeCell ref="D51:E51"/>
    <mergeCell ref="F51:H51"/>
    <mergeCell ref="I51:O51"/>
    <mergeCell ref="B2:F2"/>
    <mergeCell ref="B3:F3"/>
    <mergeCell ref="B4:F4"/>
    <mergeCell ref="B5:F5"/>
    <mergeCell ref="B7:F7"/>
  </mergeCells>
  <conditionalFormatting sqref="C18:G48">
    <cfRule type="cellIs" dxfId="10" priority="2" operator="equal">
      <formula>0</formula>
    </cfRule>
  </conditionalFormatting>
  <conditionalFormatting sqref="B18:B48">
    <cfRule type="expression" dxfId="9" priority="3">
      <formula>IF(OR(B18="Sáb",B18="Dom"),1,0)=1</formula>
    </cfRule>
  </conditionalFormatting>
  <conditionalFormatting sqref="J18:J48 L18:L48">
    <cfRule type="cellIs" dxfId="8" priority="4" operator="equal">
      <formula>0</formula>
    </cfRule>
  </conditionalFormatting>
  <conditionalFormatting sqref="N18:N48">
    <cfRule type="cellIs" dxfId="7" priority="5" operator="equal">
      <formula>0</formula>
    </cfRule>
  </conditionalFormatting>
  <conditionalFormatting sqref="K18:K48">
    <cfRule type="cellIs" dxfId="6" priority="6" operator="equal">
      <formula>0</formula>
    </cfRule>
  </conditionalFormatting>
  <conditionalFormatting sqref="K18:K48">
    <cfRule type="cellIs" dxfId="5" priority="7" operator="greaterThan">
      <formula>0</formula>
    </cfRule>
  </conditionalFormatting>
  <conditionalFormatting sqref="M18:M48">
    <cfRule type="cellIs" dxfId="4" priority="8" operator="equal">
      <formula>0</formula>
    </cfRule>
  </conditionalFormatting>
  <conditionalFormatting sqref="M18:M48">
    <cfRule type="cellIs" dxfId="3" priority="9" operator="greaterThan">
      <formula>0</formula>
    </cfRule>
  </conditionalFormatting>
  <conditionalFormatting sqref="I18:I48">
    <cfRule type="cellIs" dxfId="2" priority="10" operator="equal">
      <formula>0</formula>
    </cfRule>
  </conditionalFormatting>
  <conditionalFormatting sqref="O18:O48">
    <cfRule type="cellIs" dxfId="1" priority="11" operator="equal">
      <formula>0</formula>
    </cfRule>
  </conditionalFormatting>
  <conditionalFormatting sqref="O18:O48">
    <cfRule type="cellIs" dxfId="0" priority="12" operator="greaterThan">
      <formula>0</formula>
    </cfRule>
  </conditionalFormatting>
  <dataValidations count="1">
    <dataValidation type="list" allowBlank="1" showInputMessage="1" showErrorMessage="1" sqref="B2" xr:uid="{00000000-0002-0000-0600-000000000000}">
      <formula1>Funcionarios</formula1>
      <formula2>0</formula2>
    </dataValidation>
  </dataValidations>
  <pageMargins left="0" right="0" top="0" bottom="0.59097222222222201" header="0.511811023622047" footer="0.31527777777777799"/>
  <pageSetup paperSize="9" orientation="landscape" horizontalDpi="300" verticalDpi="300"/>
  <headerFooter>
    <oddFooter>&amp;RPág.: &amp;P/&amp;N  - Data: &amp;D - Hora: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2:R17"/>
  <sheetViews>
    <sheetView showGridLines="0" zoomScaleNormal="100" workbookViewId="0">
      <selection activeCell="J9" sqref="J9"/>
    </sheetView>
  </sheetViews>
  <sheetFormatPr defaultColWidth="8.5546875" defaultRowHeight="14.4" x14ac:dyDescent="0.3"/>
  <cols>
    <col min="1" max="1" width="8.88671875" customWidth="1"/>
    <col min="2" max="2" width="1.109375" customWidth="1"/>
    <col min="3" max="3" width="15.6640625" customWidth="1"/>
    <col min="4" max="4" width="8.109375" customWidth="1"/>
    <col min="5" max="5" width="8" customWidth="1"/>
    <col min="6" max="6" width="11.5546875" customWidth="1"/>
    <col min="7" max="7" width="11.33203125" customWidth="1"/>
    <col min="8" max="9" width="13" customWidth="1"/>
    <col min="10" max="10" width="12.109375" customWidth="1"/>
    <col min="11" max="11" width="10.33203125" customWidth="1"/>
    <col min="12" max="12" width="10.109375" customWidth="1"/>
    <col min="13" max="13" width="8" customWidth="1"/>
    <col min="14" max="14" width="11.44140625" customWidth="1"/>
    <col min="15" max="15" width="13.5546875" customWidth="1"/>
    <col min="18" max="18" width="1.109375" customWidth="1"/>
  </cols>
  <sheetData>
    <row r="2" spans="2:18" ht="6.75" customHeight="1" x14ac:dyDescent="0.3"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6"/>
    </row>
    <row r="3" spans="2:18" ht="28.8" x14ac:dyDescent="0.55000000000000004">
      <c r="B3" s="87"/>
      <c r="C3" s="105" t="s">
        <v>77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88"/>
    </row>
    <row r="4" spans="2:18" x14ac:dyDescent="0.3">
      <c r="B4" s="87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88"/>
    </row>
    <row r="5" spans="2:18" x14ac:dyDescent="0.3">
      <c r="B5" s="87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88"/>
    </row>
    <row r="6" spans="2:18" x14ac:dyDescent="0.3">
      <c r="B6" s="87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89"/>
      <c r="P6" s="78"/>
      <c r="Q6" s="78"/>
      <c r="R6" s="88"/>
    </row>
    <row r="7" spans="2:18" x14ac:dyDescent="0.3">
      <c r="B7" s="87"/>
      <c r="C7" s="78"/>
      <c r="D7" s="106" t="s">
        <v>78</v>
      </c>
      <c r="E7" s="106"/>
      <c r="F7" s="106"/>
      <c r="G7" s="90"/>
      <c r="H7" s="107" t="s">
        <v>79</v>
      </c>
      <c r="I7" s="107"/>
      <c r="J7" s="107" t="s">
        <v>80</v>
      </c>
      <c r="K7" s="107"/>
      <c r="L7" s="108" t="s">
        <v>47</v>
      </c>
      <c r="M7" s="108"/>
      <c r="N7" s="108"/>
      <c r="O7" s="108"/>
      <c r="P7" s="107" t="s">
        <v>81</v>
      </c>
      <c r="Q7" s="107"/>
      <c r="R7" s="88"/>
    </row>
    <row r="8" spans="2:18" x14ac:dyDescent="0.3">
      <c r="B8" s="87"/>
      <c r="C8" s="91" t="s">
        <v>82</v>
      </c>
      <c r="D8" s="92" t="s">
        <v>83</v>
      </c>
      <c r="E8" s="92" t="s">
        <v>84</v>
      </c>
      <c r="F8" s="92" t="s">
        <v>85</v>
      </c>
      <c r="G8" s="92" t="s">
        <v>86</v>
      </c>
      <c r="H8" s="92" t="s">
        <v>83</v>
      </c>
      <c r="I8" s="92" t="s">
        <v>84</v>
      </c>
      <c r="J8" s="92" t="s">
        <v>87</v>
      </c>
      <c r="K8" s="92" t="s">
        <v>88</v>
      </c>
      <c r="L8" s="92" t="s">
        <v>21</v>
      </c>
      <c r="M8" s="92" t="s">
        <v>89</v>
      </c>
      <c r="N8" s="92" t="s">
        <v>90</v>
      </c>
      <c r="O8" s="93" t="s">
        <v>91</v>
      </c>
      <c r="P8" s="94" t="s">
        <v>83</v>
      </c>
      <c r="Q8" s="94" t="s">
        <v>84</v>
      </c>
      <c r="R8" s="88"/>
    </row>
    <row r="9" spans="2:18" x14ac:dyDescent="0.3">
      <c r="B9" s="87"/>
      <c r="C9" s="62" t="s">
        <v>92</v>
      </c>
      <c r="D9" s="47" t="e">
        <f ca="1">IF(SUM(INDIRECT("'"&amp;C9&amp;"'!U24:U35"))-SUM(INDIRECT("'"&amp;C9&amp;"'!X24:X35"))&gt;0,SUM(INDIRECT("'"&amp;C9&amp;"'!U24:U35"))-SUM(INDIRECT("'"&amp;C9&amp;"'!X24:X35")),0)</f>
        <v>#REF!</v>
      </c>
      <c r="E9" s="47" t="e">
        <f ca="1">IF(SUM(INDIRECT("'"&amp;C9&amp;"'!U24:U35"))-SUM(INDIRECT("'"&amp;C9&amp;"'!X24:X35"))&lt;0,SUM(INDIRECT("'"&amp;C9&amp;"'!X24:X35"))-SUM(INDIRECT("'"&amp;C9&amp;"'!U24:U35")),0)</f>
        <v>#REF!</v>
      </c>
      <c r="F9" s="47" t="e">
        <f ca="1">SUM(INDIRECT("'"&amp;C9&amp;"'!V24:V35"))</f>
        <v>#REF!</v>
      </c>
      <c r="G9" s="47" t="e">
        <f ca="1">SUM(INDIRECT("'"&amp;C9&amp;"'!Y24:Y35"))</f>
        <v>#REF!</v>
      </c>
      <c r="H9" s="47" t="e">
        <f ca="1">INDIRECT("'"&amp;C9&amp;"'!O2")</f>
        <v>#REF!</v>
      </c>
      <c r="I9" s="47" t="e">
        <f ca="1">INDIRECT("'"&amp;C9&amp;"'!O3")</f>
        <v>#REF!</v>
      </c>
      <c r="J9" s="35">
        <v>0.125</v>
      </c>
      <c r="K9" s="35"/>
      <c r="L9" s="95" t="e">
        <f ca="1">INDIRECT("'"&amp;C9&amp;"'!S2")</f>
        <v>#REF!</v>
      </c>
      <c r="M9" s="95" t="e">
        <f ca="1">L9*(F9+J9)*24</f>
        <v>#REF!</v>
      </c>
      <c r="N9" s="95" t="e">
        <f ca="1">L9*(G9+K9)*24</f>
        <v>#REF!</v>
      </c>
      <c r="O9" s="96" t="e">
        <f ca="1">M9-N9</f>
        <v>#REF!</v>
      </c>
      <c r="P9" s="97" t="e">
        <f ca="1">H9+D9-J9</f>
        <v>#REF!</v>
      </c>
      <c r="Q9" s="97" t="e">
        <f ca="1">E9+I9-K9</f>
        <v>#REF!</v>
      </c>
      <c r="R9" s="88"/>
    </row>
    <row r="10" spans="2:18" x14ac:dyDescent="0.3">
      <c r="B10" s="87"/>
      <c r="C10" s="62" t="s">
        <v>8</v>
      </c>
      <c r="D10" s="47">
        <f ca="1">IF(SUM(INDIRECT("'"&amp;C10&amp;"'!U24:U35"))-SUM(INDIRECT("'"&amp;C10&amp;"'!X24:X35"))&gt;0,SUM(INDIRECT("'"&amp;C10&amp;"'!U24:U35"))-SUM(INDIRECT("'"&amp;C10&amp;"'!X24:X35")),0)</f>
        <v>0.20763888888888876</v>
      </c>
      <c r="E10" s="47">
        <f ca="1">IF(SUM(INDIRECT("'"&amp;C10&amp;"'!U24:U35"))-SUM(INDIRECT("'"&amp;C10&amp;"'!X24:X35"))&lt;0,SUM(INDIRECT("'"&amp;C10&amp;"'!X24:X35"))-SUM(INDIRECT("'"&amp;C10&amp;"'!U24:U35")),0)</f>
        <v>0</v>
      </c>
      <c r="F10" s="47">
        <f ca="1">SUM(INDIRECT("'"&amp;C10&amp;"'!V24:V35"))</f>
        <v>1.8055208333333361</v>
      </c>
      <c r="G10" s="47">
        <f ca="1">SUM(INDIRECT("'"&amp;C10&amp;"'!Y24:Y35"))</f>
        <v>0.14999999999999991</v>
      </c>
      <c r="H10" s="47">
        <f ca="1">INDIRECT("'"&amp;C10&amp;"'!O2")</f>
        <v>1.5763888888888899</v>
      </c>
      <c r="I10" s="47">
        <f ca="1">INDIRECT("'"&amp;C10&amp;"'!O3")</f>
        <v>0</v>
      </c>
      <c r="J10" s="35">
        <v>0.41666666666666702</v>
      </c>
      <c r="K10" s="35"/>
      <c r="L10" s="95">
        <f ca="1">INDIRECT("'"&amp;C10&amp;"'!S2")</f>
        <v>17.045454545454547</v>
      </c>
      <c r="M10" s="95">
        <f ca="1">L10*(F10+J10)*24</f>
        <v>909.07670454545587</v>
      </c>
      <c r="N10" s="95">
        <f ca="1">L10*(G10+K10)*24</f>
        <v>61.363636363636331</v>
      </c>
      <c r="O10" s="96">
        <f ca="1">M10-N10</f>
        <v>847.71306818181949</v>
      </c>
      <c r="P10" s="97">
        <f ca="1">H10+D10-J10</f>
        <v>1.3673611111111117</v>
      </c>
      <c r="Q10" s="97">
        <f ca="1">E10+I10-K10</f>
        <v>0</v>
      </c>
      <c r="R10" s="88"/>
    </row>
    <row r="11" spans="2:18" x14ac:dyDescent="0.3">
      <c r="B11" s="87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89"/>
      <c r="P11" s="78"/>
      <c r="Q11" s="78"/>
      <c r="R11" s="88"/>
    </row>
    <row r="12" spans="2:18" x14ac:dyDescent="0.3">
      <c r="B12" s="98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100"/>
      <c r="P12" s="99"/>
      <c r="Q12" s="99"/>
      <c r="R12" s="101"/>
    </row>
    <row r="13" spans="2:18" x14ac:dyDescent="0.3">
      <c r="O13" s="102"/>
    </row>
    <row r="14" spans="2:18" x14ac:dyDescent="0.3">
      <c r="O14" s="102"/>
    </row>
    <row r="15" spans="2:18" x14ac:dyDescent="0.3">
      <c r="O15" s="102"/>
    </row>
    <row r="16" spans="2:18" x14ac:dyDescent="0.3">
      <c r="O16" s="102"/>
    </row>
    <row r="17" spans="15:15" x14ac:dyDescent="0.3">
      <c r="O17" s="102"/>
    </row>
  </sheetData>
  <mergeCells count="6">
    <mergeCell ref="C3:Q3"/>
    <mergeCell ref="D7:F7"/>
    <mergeCell ref="H7:I7"/>
    <mergeCell ref="J7:K7"/>
    <mergeCell ref="L7:O7"/>
    <mergeCell ref="P7:Q7"/>
  </mergeCells>
  <pageMargins left="0.51180555555555596" right="0.51180555555555596" top="0.78749999999999998" bottom="0.78749999999999998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Menu</vt:lpstr>
      <vt:lpstr>Cadastro</vt:lpstr>
      <vt:lpstr>Josué Barbosa</vt:lpstr>
      <vt:lpstr>Davi Emanuel</vt:lpstr>
      <vt:lpstr>Júlia Maria</vt:lpstr>
      <vt:lpstr>Laércio Moreira</vt:lpstr>
      <vt:lpstr>Folha de ponto</vt:lpstr>
      <vt:lpstr>Fechamento</vt:lpstr>
      <vt:lpstr>'Folha de ponto'!Titulos_de_impressao</vt:lpstr>
    </vt:vector>
  </TitlesOfParts>
  <Company>Guia do Excel / Guide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dc:description/>
  <cp:lastModifiedBy>Josué Barbosa</cp:lastModifiedBy>
  <cp:revision>2</cp:revision>
  <cp:lastPrinted>2015-04-15T14:07:52Z</cp:lastPrinted>
  <dcterms:created xsi:type="dcterms:W3CDTF">2015-04-08T00:31:51Z</dcterms:created>
  <dcterms:modified xsi:type="dcterms:W3CDTF">2022-05-07T21:26:57Z</dcterms:modified>
  <dc:language>pt-BR</dc:language>
</cp:coreProperties>
</file>